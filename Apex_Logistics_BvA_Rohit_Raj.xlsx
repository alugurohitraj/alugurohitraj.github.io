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9CAC6AD-A4D2-41CF-8445-EAF2E2E208E1}" xr6:coauthVersionLast="47" xr6:coauthVersionMax="47" xr10:uidLastSave="{00000000-0000-0000-0000-000000000000}"/>
  <bookViews>
    <workbookView xWindow="-108" yWindow="-108" windowWidth="23256" windowHeight="12456" tabRatio="500" firstSheet="2" activeTab="6" xr2:uid="{00000000-000D-0000-FFFF-FFFF00000000}"/>
  </bookViews>
  <sheets>
    <sheet name="Cover" sheetId="1" r:id="rId1"/>
    <sheet name="Assumptions" sheetId="2" r:id="rId2"/>
    <sheet name="Budget vs Actuals" sheetId="3" r:id="rId3"/>
    <sheet name="Variance Analysis" sheetId="4" r:id="rId4"/>
    <sheet name="Headcount" sheetId="5" r:id="rId5"/>
    <sheet name="Operational KPIs" sheetId="6" r:id="rId6"/>
    <sheet name="Full Year Forecast" sheetId="7" r:id="rId7"/>
    <sheet name="PL_Data" sheetId="8" r:id="rId8"/>
    <sheet name="KPI_Data" sheetId="9" r:id="rId9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31" i="5" l="1"/>
  <c r="N30" i="5"/>
  <c r="N26" i="5"/>
  <c r="N25" i="5"/>
  <c r="N21" i="5"/>
  <c r="N20" i="5"/>
  <c r="N16" i="5"/>
  <c r="N15" i="5"/>
  <c r="N11" i="5"/>
  <c r="N10" i="5"/>
  <c r="N6" i="5"/>
  <c r="N5" i="5"/>
</calcChain>
</file>

<file path=xl/sharedStrings.xml><?xml version="1.0" encoding="utf-8"?>
<sst xmlns="http://schemas.openxmlformats.org/spreadsheetml/2006/main" count="357" uniqueCount="212">
  <si>
    <t>APEX LOGISTICS UK LTD</t>
  </si>
  <si>
    <t>FY2025 Budget vs. Actuals Tracker</t>
  </si>
  <si>
    <t>Monthly Financial Performance &amp; Operational KPI Report</t>
  </si>
  <si>
    <t>Prepared by:</t>
  </si>
  <si>
    <t>Alugu Rohit Raj — Financial Analyst</t>
  </si>
  <si>
    <t>Qualification:</t>
  </si>
  <si>
    <t>MSc Accounting &amp; Finance, University of Southampton | Part Qualified ACCA</t>
  </si>
  <si>
    <t>Company:</t>
  </si>
  <si>
    <t>Apex Logistics UK Ltd (Mock Company — FP&amp;A Portfolio Project)</t>
  </si>
  <si>
    <t>Period:</t>
  </si>
  <si>
    <t>January 2025 – December 2025 (FY2025)</t>
  </si>
  <si>
    <t>Currency:</t>
  </si>
  <si>
    <t>GBP £ Thousands (£000)</t>
  </si>
  <si>
    <t>Last Updated:</t>
  </si>
  <si>
    <t>June 2025</t>
  </si>
  <si>
    <t>WORKSHEET GUIDE</t>
  </si>
  <si>
    <t>Assumptions</t>
  </si>
  <si>
    <t>Annual budget assumptions &amp; drivers</t>
  </si>
  <si>
    <t>Budget vs Actuals</t>
  </si>
  <si>
    <t>Monthly P&amp;L: Budget, Actual &amp; Variance</t>
  </si>
  <si>
    <t>Variance Analysis</t>
  </si>
  <si>
    <t>Detailed variance with RAG status &amp; commentary</t>
  </si>
  <si>
    <t>Headcount</t>
  </si>
  <si>
    <t>Monthly headcount budget vs actual by depot</t>
  </si>
  <si>
    <t>Operational KPIs</t>
  </si>
  <si>
    <t>On-time delivery, fleet utilisation, cost per delivery</t>
  </si>
  <si>
    <t>Full Year Forecast</t>
  </si>
  <si>
    <t>H2 reforecast based on H1 actuals</t>
  </si>
  <si>
    <t>PL_Data</t>
  </si>
  <si>
    <t>Monthly P&amp;L data table — Power BI connection (Table 1)</t>
  </si>
  <si>
    <t>KPI_Data</t>
  </si>
  <si>
    <t>Operational KPI data table — Power BI connection (Table 2)</t>
  </si>
  <si>
    <t>APEX LOGISTICS UK LTD — FY2025 BUDGET ASSUMPTIONS</t>
  </si>
  <si>
    <t>Driver / Assumption</t>
  </si>
  <si>
    <t>Value</t>
  </si>
  <si>
    <t>Notes</t>
  </si>
  <si>
    <t>BUSINESS OVERVIEW</t>
  </si>
  <si>
    <t>Annual Revenue Budget (£000)</t>
  </si>
  <si>
    <t>Sum of all depot contracts</t>
  </si>
  <si>
    <t>Number of Depots</t>
  </si>
  <si>
    <t>UK-wide operations</t>
  </si>
  <si>
    <t>Total Headcount (budgeted)</t>
  </si>
  <si>
    <t>Drivers, ops &amp; admin</t>
  </si>
  <si>
    <t>Number of Vehicles</t>
  </si>
  <si>
    <t>Mix of HGVs and vans</t>
  </si>
  <si>
    <t>REVENUE ASSUMPTIONS</t>
  </si>
  <si>
    <t>YoY Revenue Growth Target</t>
  </si>
  <si>
    <t>vs FY2024 £14.2m</t>
  </si>
  <si>
    <t>Average Revenue per Delivery (£)</t>
  </si>
  <si>
    <t>Based on contract rates</t>
  </si>
  <si>
    <t>Seasonal Peak (Q3 uplift %)</t>
  </si>
  <si>
    <t>Jul-Aug peak season</t>
  </si>
  <si>
    <t>COST ASSUMPTIONS</t>
  </si>
  <si>
    <t>Cost of Sales as % Revenue (Budget)</t>
  </si>
  <si>
    <t>Driver wages, fuel, vehicle</t>
  </si>
  <si>
    <t>Overhead as % Revenue (Budget)</t>
  </si>
  <si>
    <t>Depot rent, admin, utilities</t>
  </si>
  <si>
    <t>Average Driver Wage (£000 pa)</t>
  </si>
  <si>
    <t>Including NI &amp; pension</t>
  </si>
  <si>
    <t>Fuel Cost Budget (£000 annual)</t>
  </si>
  <si>
    <t>Based on 48p/mile average</t>
  </si>
  <si>
    <t>OPERATIONAL TARGETS</t>
  </si>
  <si>
    <t>On-Time Delivery Target (%)</t>
  </si>
  <si>
    <t>Group KPI target</t>
  </si>
  <si>
    <t>Fleet Utilisation Target (%)</t>
  </si>
  <si>
    <t>Asset efficiency target</t>
  </si>
  <si>
    <t>Monthly Deliveries Target</t>
  </si>
  <si>
    <t>Average across FY2025</t>
  </si>
  <si>
    <t>Cost per Delivery Budget (£)</t>
  </si>
  <si>
    <t>Total cost / deliveries</t>
  </si>
  <si>
    <t>APEX LOGISTICS UK LTD — FY2025 MONTHLY P&amp;L: BUDGET VS ACTUALS (£000)</t>
  </si>
  <si>
    <t>Currency: £000 | B = Budget | A = Actual | V = Variance (A-B) | YTD = Year-to-Date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</si>
  <si>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</si>
  <si>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</si>
  <si>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</si>
  <si>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</si>
  <si>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</si>
  <si>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</si>
  <si>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</si>
  <si>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</si>
  <si>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</si>
  <si>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</si>
  <si>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</si>
  <si>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</si>
  <si>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FY Budget</t>
  </si>
  <si>
    <t>FY Actual</t>
  </si>
  <si>
    <t>FY Variance</t>
  </si>
  <si>
    <t>LINE ITEM</t>
  </si>
  <si>
    <t>Bgt</t>
  </si>
  <si>
    <t>Act</t>
  </si>
  <si>
    <t>Var</t>
  </si>
  <si>
    <t>Budget</t>
  </si>
  <si>
    <t>Actual</t>
  </si>
  <si>
    <t>Variance</t>
  </si>
  <si>
    <t>REVENUE</t>
  </si>
  <si>
    <t>Total Revenue</t>
  </si>
  <si>
    <t>COST OF SALES</t>
  </si>
  <si>
    <t>Driver Wages</t>
  </si>
  <si>
    <t>Fuel &amp; Oil</t>
  </si>
  <si>
    <t>Vehicle Maintenance</t>
  </si>
  <si>
    <t>Subcontractor Costs</t>
  </si>
  <si>
    <t>Total Cost of Sales</t>
  </si>
  <si>
    <t>GROSS PROFIT</t>
  </si>
  <si>
    <t>Gross Profit</t>
  </si>
  <si>
    <t>OVERHEADS</t>
  </si>
  <si>
    <t>Depot Rent &amp; Rates</t>
  </si>
  <si>
    <t>Admin &amp; Management</t>
  </si>
  <si>
    <t>Utilities &amp; Insurance</t>
  </si>
  <si>
    <t>IT &amp; Systems</t>
  </si>
  <si>
    <t>Total Overheads</t>
  </si>
  <si>
    <t>EBITDA</t>
  </si>
  <si>
    <t xml:space="preserve">  EBITDA Margin % (Budget)</t>
  </si>
  <si>
    <t>HEADCOUNT SUMMARY</t>
  </si>
  <si>
    <t>Total Headcount (FTE)</t>
  </si>
  <si>
    <t>APEX LOGISTICS UK LTD — FY2025 VARIANCE ANALYSIS WITH RAG STATUS</t>
  </si>
  <si>
    <t>RAG: Green = within 2% of budget | Amber = 2–5% variance | Red = &gt;5% variance from budget</t>
  </si>
  <si>
    <t>Line Item</t>
  </si>
  <si>
    <t>FY Budget (£000)</t>
  </si>
  <si>
    <t>FY Actual (£000)</t>
  </si>
  <si>
    <t>Variance (£000)</t>
  </si>
  <si>
    <t>Var %</t>
  </si>
  <si>
    <t>RAG</t>
  </si>
  <si>
    <t>Commentary</t>
  </si>
  <si>
    <t>🟢 GREEN</t>
  </si>
  <si>
    <t>Revenue +1.2% ahead of budget. Strong Q3 performance driven by e-commerce contract uplift at Manchester and Birmingham depots. October softness due to delayed contract renewal with key retail client.</t>
  </si>
  <si>
    <t>Wages 0.7% under budget. Lower than planned agency usage offset by slightly higher permanent headcount costs.</t>
  </si>
  <si>
    <t>Fuel +3.1% over budget. Diesel prices averaged 148p/litre vs 143p budgeted. Partially offset by improved route efficiency saving ~4% on miles driven.</t>
  </si>
  <si>
    <t>🔴 RED</t>
  </si>
  <si>
    <t>Maintenance 5.8% over budget due to unplanned HGV repair at Leeds depot in March (£22k) and Bristol fleet service in August (£18k).</t>
  </si>
  <si>
    <t>Subcontractor costs in line with budget. Controlled usage during Q3 peak through proactive capacity planning.</t>
  </si>
  <si>
    <t>Overall CoS 0.8% above budget. Fuel and maintenance overspend partially offset by wage efficiency.</t>
  </si>
  <si>
    <t>Gross profit £89k ahead of budget, supported by revenue outperformance. Gross margin 29.2% vs 28.9% budgeted.</t>
  </si>
  <si>
    <t>Rent in line with budget. No unplanned lease events during the year.</t>
  </si>
  <si>
    <t>Admin costs on budget. New FP&amp;A reporting tools reduced manual overhead by 25%, freeing analyst capacity.</t>
  </si>
  <si>
    <t>Utilities 2.1% above budget. Energy costs higher than planned at Leeds and Manchester depots.</t>
  </si>
  <si>
    <t>Overheads broadly in line with budget, 0.4% underspend overall.</t>
  </si>
  <si>
    <t>EBITDA £119k (3.1%) ahead of budget. EBITDA margin 25.9% vs 25.2% budgeted — a strong result reflecting revenue growth and overhead discipline.</t>
  </si>
  <si>
    <t>APEX LOGISTICS UK LTD — FY2025 HEADCOUNT TRACKER (FTE)</t>
  </si>
  <si>
    <t>Depot / Role</t>
  </si>
  <si>
    <t>FY Avg</t>
  </si>
  <si>
    <t>vs Budget</t>
  </si>
  <si>
    <t xml:space="preserve">  London (HQ) — Budget</t>
  </si>
  <si>
    <t>Budget (FTE)</t>
  </si>
  <si>
    <t>Actual (FTE)</t>
  </si>
  <si>
    <t xml:space="preserve">  Manchester — Budget</t>
  </si>
  <si>
    <t xml:space="preserve">  Birmingham — Budget</t>
  </si>
  <si>
    <t xml:space="preserve">  Leeds — Budget</t>
  </si>
  <si>
    <t xml:space="preserve">  Bristol — Budget</t>
  </si>
  <si>
    <t xml:space="preserve">  Edinburgh — Budget</t>
  </si>
  <si>
    <t>APEX LOGISTICS UK LTD — FY2025 OPERATIONAL KPI DASHBOARD</t>
  </si>
  <si>
    <t>Key Performance Indicators | Target vs Actual | Monthly Tracking</t>
  </si>
  <si>
    <t>KPI</t>
  </si>
  <si>
    <t>vs Target</t>
  </si>
  <si>
    <t>ON-TIME DELIVERY (%)</t>
  </si>
  <si>
    <t>Target (%)</t>
  </si>
  <si>
    <t>Actual (%)</t>
  </si>
  <si>
    <t>Variance (pp)</t>
  </si>
  <si>
    <t>TOTAL DELIVERIES (units)</t>
  </si>
  <si>
    <t>FLEET UTILISATION (%)</t>
  </si>
  <si>
    <t>FUEL COSTS (£000)</t>
  </si>
  <si>
    <t>Budget (£000)</t>
  </si>
  <si>
    <t>Actual (£000)</t>
  </si>
  <si>
    <t>COST PER DELIVERY (£)</t>
  </si>
  <si>
    <t>Budget (£/delivery)</t>
  </si>
  <si>
    <t>Actual (£/delivery)</t>
  </si>
  <si>
    <t>APEX LOGISTICS UK LTD — FY2025 FULL YEAR FORECAST vs BUDGET</t>
  </si>
  <si>
    <t>H1 Actuals (Jan–Jun) + H2 Reforecast (Jul–Dec) based on H1 run-rate and business intelligence</t>
  </si>
  <si>
    <t>H1 Actual</t>
  </si>
  <si>
    <t>H2 Forecast</t>
  </si>
  <si>
    <t>FY Forecast</t>
  </si>
  <si>
    <t>INCOME STATEMENT (£000)</t>
  </si>
  <si>
    <t>FORECAST ASSUMPTIONS &amp; NOTES</t>
  </si>
  <si>
    <t>• Revenue: H2 forecast based on confirmed contract values + seasonal Q3 uplift of 8% (Jul-Aug). Oct-Dec reflects known contract renewal delays.</t>
  </si>
  <si>
    <t>• Cost of Sales: Fuel reforecast at 148p/litre (H1 average) vs 143p budgeted. Maintenance capex includes £40k planned fleet service in Q4.</t>
  </si>
  <si>
    <t>• Overheads: Broadly held flat vs budget. Energy cost overspend of ~£15k expected to continue into H2 based on current rates.</t>
  </si>
  <si>
    <t>• EBITDA: Full year EBITDA forecast £3,673k vs budget £3,642k — ahead by £31k. Margin 25.8% vs 25.2% budgeted.</t>
  </si>
  <si>
    <t>POWER BI DATA TABLE 1 — P&amp;L Monthly Data | Sort by Month_Num (1=Jan, 12=Dec) for correct month order</t>
  </si>
  <si>
    <t>Month</t>
  </si>
  <si>
    <t>Month_Num</t>
  </si>
  <si>
    <t>Rev_Budget</t>
  </si>
  <si>
    <t>Rev_Actual</t>
  </si>
  <si>
    <t>Rev_Variance</t>
  </si>
  <si>
    <t>CoS_Budget</t>
  </si>
  <si>
    <t>CoS_Actual</t>
  </si>
  <si>
    <t>GP_Budget</t>
  </si>
  <si>
    <t>GP_Actual</t>
  </si>
  <si>
    <t>OH_Budget</t>
  </si>
  <si>
    <t>OH_Actual</t>
  </si>
  <si>
    <t>EBITDA_Budget</t>
  </si>
  <si>
    <t>EBITDA_Actual</t>
  </si>
  <si>
    <t>EBITDA_Variance</t>
  </si>
  <si>
    <t>Rev_Var_Pct</t>
  </si>
  <si>
    <t>EBITDA_Margin_Budget</t>
  </si>
  <si>
    <t>EBITDA_Margin_Actual</t>
  </si>
  <si>
    <t>POWER BI DATA TABLE 2 — KPI Data | Sort by Month_Num (1=Jan, 12=Dec) for correct month order</t>
  </si>
  <si>
    <t>OTD_Target_Pct</t>
  </si>
  <si>
    <t>OTD_Actual_Pct</t>
  </si>
  <si>
    <t>OTD_Variance_Pp</t>
  </si>
  <si>
    <t>Deliveries_Budget</t>
  </si>
  <si>
    <t>Deliveries_Actual</t>
  </si>
  <si>
    <t>Deliveries_Variance</t>
  </si>
  <si>
    <t>Fleet_Target_Pct</t>
  </si>
  <si>
    <t>Fleet_Actual_Pct</t>
  </si>
  <si>
    <t>Fleet_Variance_Pp</t>
  </si>
  <si>
    <t>Fuel_Budget</t>
  </si>
  <si>
    <t>Fuel_Actual</t>
  </si>
  <si>
    <t>Fuel_Variance</t>
  </si>
  <si>
    <t>Headcount_Budget</t>
  </si>
  <si>
    <t>Headcount_Actual</t>
  </si>
  <si>
    <t>CostPerDel_Budget</t>
  </si>
  <si>
    <t>CostPerDel_Actual</t>
  </si>
  <si>
    <t>CostPerDel_Variance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</si>
</sst>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\-"/>
    <numFmt numFmtId="165" formatCode="0.0%;\(0.0%\);\-"/>
    <numFmt numFmtId="166" formatCode="0.0"/>
    <numFmt numFmtId="167" formatCode="#,##0.00;\(#,##0.00\);\-"/>
    <numFmt numFmtId="168" formatCode="#,##0;\(#,##0\)"/>
    <numFmt numFmtId="169" formatCode="#,##0.00;\(#,##0.00\)"/>
  </numFmts>
  <fonts count="24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b/>
      <sz val="14"/>
      <color rgb="FFFFFFFF"/>
      <name val="Arial"/>
      <charset val="1"/>
    </font>
    <font>
      <i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color rgb="FF1B4F8A"/>
      <name val="Arial"/>
      <charset val="1"/>
    </font>
    <font>
      <sz val="10"/>
      <name val="Arial"/>
      <charset val="1"/>
    </font>
    <font>
      <b/>
      <sz val="12"/>
      <color rgb="FFFFFFFF"/>
      <name val="Arial"/>
      <charset val="1"/>
    </font>
    <font>
      <sz val="10"/>
      <color rgb="FF0000FF"/>
      <name val="Arial"/>
      <charset val="1"/>
    </font>
    <font>
      <i/>
      <sz val="9"/>
      <color rgb="FF595959"/>
      <name val="Arial"/>
      <charset val="1"/>
    </font>
    <font>
      <b/>
      <sz val="9"/>
      <color rgb="FF404040"/>
      <name val="Arial"/>
      <charset val="1"/>
    </font>
    <font>
      <b/>
      <sz val="9"/>
      <color rgb="FFFFFFFF"/>
      <name val="Arial"/>
      <charset val="1"/>
    </font>
    <font>
      <b/>
      <sz val="10"/>
      <color rgb="FF0000FF"/>
      <name val="Arial"/>
      <charset val="1"/>
    </font>
    <font>
      <b/>
      <sz val="10"/>
      <color rgb="FF375623"/>
      <name val="Arial"/>
      <charset val="1"/>
    </font>
    <font>
      <b/>
      <sz val="10"/>
      <color rgb="FFC00000"/>
      <name val="Arial"/>
      <charset val="1"/>
    </font>
    <font>
      <sz val="10"/>
      <color rgb="FF375623"/>
      <name val="Arial"/>
      <charset val="1"/>
    </font>
    <font>
      <sz val="10"/>
      <color rgb="FFC00000"/>
      <name val="Arial"/>
      <charset val="1"/>
    </font>
    <font>
      <sz val="9"/>
      <color rgb="FF1B4F8A"/>
      <name val="Arial"/>
      <charset val="1"/>
    </font>
    <font>
      <b/>
      <sz val="9"/>
      <color rgb="FF375623"/>
      <name val="Arial"/>
      <charset val="1"/>
    </font>
    <font>
      <i/>
      <sz val="9"/>
      <color rgb="FF000000"/>
      <name val="Arial"/>
      <charset val="1"/>
    </font>
    <font>
      <b/>
      <sz val="9"/>
      <color rgb="FFC00000"/>
      <name val="Arial"/>
      <charset val="1"/>
    </font>
    <font>
      <sz val="10"/>
      <color rgb="FF1B4F8A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0F1F3D"/>
        <bgColor rgb="FF003300"/>
      </patternFill>
    </fill>
    <fill>
      <patternFill patternType="solid">
        <fgColor rgb="FF1B4F8A"/>
        <bgColor rgb="FF0066CC"/>
      </patternFill>
    </fill>
    <fill>
      <patternFill patternType="solid">
        <fgColor rgb="FF0D7A6B"/>
        <bgColor rgb="FF008080"/>
      </patternFill>
    </fill>
    <fill>
      <patternFill patternType="solid">
        <fgColor rgb="FFD6E4F0"/>
        <bgColor rgb="FFD9D9D9"/>
      </patternFill>
    </fill>
    <fill>
      <patternFill patternType="solid">
        <fgColor rgb="FFFFF2CC"/>
        <bgColor rgb="FFFFE6E6"/>
      </patternFill>
    </fill>
    <fill>
      <patternFill patternType="solid">
        <fgColor rgb="FFD9D9D9"/>
        <bgColor rgb="FFD6E4F0"/>
      </patternFill>
    </fill>
    <fill>
      <patternFill patternType="solid">
        <fgColor rgb="FFE6F4F1"/>
        <bgColor rgb="FFF3F5F8"/>
      </patternFill>
    </fill>
    <fill>
      <patternFill patternType="solid">
        <fgColor rgb="FFFFE6E6"/>
        <bgColor rgb="FFFFF2CC"/>
      </patternFill>
    </fill>
    <fill>
      <patternFill patternType="solid">
        <fgColor rgb="FFF3F5F8"/>
        <bgColor rgb="FFE6F4F1"/>
      </patternFill>
    </fill>
    <fill>
      <patternFill patternType="solid">
        <fgColor rgb="FFE2EFDA"/>
        <bgColor rgb="FFE6F4F1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1" fillId="0" borderId="0" xfId="0" applyFont="1" applyAlignment="1">
      <alignment horizontal="left"/>
    </xf>
    <xf numFmtId="0" fontId="21" fillId="0" borderId="2" xfId="0" applyFont="1" applyBorder="1" applyAlignment="1">
      <alignment horizontal="left" vertical="center" wrapText="1" indent="1"/>
    </xf>
    <xf numFmtId="0" fontId="6" fillId="4" borderId="0" xfId="0" applyFont="1" applyFill="1" applyAlignment="1">
      <alignment horizontal="left" vertical="center" indent="1"/>
    </xf>
    <xf numFmtId="0" fontId="6" fillId="3" borderId="0" xfId="0" applyFont="1" applyFill="1" applyAlignment="1">
      <alignment horizontal="left" vertical="center" indent="1"/>
    </xf>
    <xf numFmtId="0" fontId="6" fillId="3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indent="1"/>
    </xf>
    <xf numFmtId="0" fontId="6" fillId="2" borderId="0" xfId="0" applyFont="1" applyFill="1" applyAlignment="1">
      <alignment horizontal="left" vertical="center" indent="1"/>
    </xf>
    <xf numFmtId="0" fontId="9" fillId="2" borderId="2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6" fillId="2" borderId="0" xfId="0" applyFont="1" applyFill="1"/>
    <xf numFmtId="0" fontId="0" fillId="2" borderId="0" xfId="0" applyFill="1"/>
    <xf numFmtId="0" fontId="7" fillId="5" borderId="1" xfId="0" applyFont="1" applyFill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6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indent="1"/>
    </xf>
    <xf numFmtId="164" fontId="10" fillId="6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left" vertical="center" indent="1"/>
    </xf>
    <xf numFmtId="165" fontId="10" fillId="6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/>
    <xf numFmtId="0" fontId="12" fillId="7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64" fontId="14" fillId="5" borderId="1" xfId="0" applyNumberFormat="1" applyFont="1" applyFill="1" applyBorder="1" applyAlignment="1">
      <alignment horizontal="right" vertical="center"/>
    </xf>
    <xf numFmtId="164" fontId="15" fillId="5" borderId="1" xfId="0" applyNumberFormat="1" applyFont="1" applyFill="1" applyBorder="1" applyAlignment="1">
      <alignment horizontal="right" vertical="center"/>
    </xf>
    <xf numFmtId="164" fontId="16" fillId="0" borderId="1" xfId="0" applyNumberFormat="1" applyFont="1" applyBorder="1" applyAlignment="1">
      <alignment horizontal="right" vertical="center"/>
    </xf>
    <xf numFmtId="164" fontId="15" fillId="0" borderId="1" xfId="0" applyNumberFormat="1" applyFont="1" applyBorder="1" applyAlignment="1">
      <alignment horizontal="right" vertical="center"/>
    </xf>
    <xf numFmtId="164" fontId="10" fillId="0" borderId="1" xfId="0" applyNumberFormat="1" applyFont="1" applyBorder="1" applyAlignment="1">
      <alignment horizontal="right" vertical="center"/>
    </xf>
    <xf numFmtId="164" fontId="17" fillId="0" borderId="1" xfId="0" applyNumberFormat="1" applyFont="1" applyBorder="1" applyAlignment="1">
      <alignment horizontal="right" vertical="center"/>
    </xf>
    <xf numFmtId="164" fontId="18" fillId="0" borderId="1" xfId="0" applyNumberFormat="1" applyFont="1" applyBorder="1" applyAlignment="1">
      <alignment horizontal="right" vertical="center"/>
    </xf>
    <xf numFmtId="164" fontId="16" fillId="5" borderId="1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left" vertical="center" indent="1"/>
    </xf>
    <xf numFmtId="164" fontId="14" fillId="8" borderId="1" xfId="0" applyNumberFormat="1" applyFont="1" applyFill="1" applyBorder="1" applyAlignment="1">
      <alignment horizontal="right" vertical="center"/>
    </xf>
    <xf numFmtId="164" fontId="15" fillId="8" borderId="1" xfId="0" applyNumberFormat="1" applyFont="1" applyFill="1" applyBorder="1" applyAlignment="1">
      <alignment horizontal="right" vertical="center"/>
    </xf>
    <xf numFmtId="0" fontId="5" fillId="10" borderId="1" xfId="0" applyFont="1" applyFill="1" applyBorder="1" applyAlignment="1">
      <alignment horizontal="left" vertical="center" indent="1"/>
    </xf>
    <xf numFmtId="165" fontId="19" fillId="10" borderId="1" xfId="0" applyNumberFormat="1" applyFont="1" applyFill="1" applyBorder="1" applyAlignment="1">
      <alignment horizontal="right" vertical="center"/>
    </xf>
    <xf numFmtId="0" fontId="0" fillId="10" borderId="1" xfId="0" applyFill="1" applyBorder="1" applyAlignment="1">
      <alignment horizontal="right" vertical="center"/>
    </xf>
    <xf numFmtId="0" fontId="0" fillId="10" borderId="1" xfId="0" applyFill="1" applyBorder="1"/>
    <xf numFmtId="165" fontId="17" fillId="0" borderId="1" xfId="0" applyNumberFormat="1" applyFont="1" applyBorder="1" applyAlignment="1">
      <alignment horizontal="right" vertical="center"/>
    </xf>
    <xf numFmtId="0" fontId="20" fillId="11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 indent="1"/>
    </xf>
    <xf numFmtId="165" fontId="18" fillId="0" borderId="1" xfId="0" applyNumberFormat="1" applyFont="1" applyBorder="1" applyAlignment="1">
      <alignment horizontal="right" vertical="center"/>
    </xf>
    <xf numFmtId="0" fontId="22" fillId="9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10" fillId="5" borderId="1" xfId="0" applyNumberFormat="1" applyFont="1" applyFill="1" applyBorder="1" applyAlignment="1">
      <alignment horizontal="right" vertical="center"/>
    </xf>
    <xf numFmtId="166" fontId="4" fillId="5" borderId="1" xfId="0" applyNumberFormat="1" applyFont="1" applyFill="1" applyBorder="1" applyAlignment="1">
      <alignment horizontal="right" vertical="center"/>
    </xf>
    <xf numFmtId="166" fontId="15" fillId="0" borderId="1" xfId="0" applyNumberFormat="1" applyFont="1" applyBorder="1" applyAlignment="1">
      <alignment horizontal="right" vertical="center"/>
    </xf>
    <xf numFmtId="164" fontId="18" fillId="10" borderId="1" xfId="0" applyNumberFormat="1" applyFont="1" applyFill="1" applyBorder="1" applyAlignment="1">
      <alignment horizontal="right" vertical="center"/>
    </xf>
    <xf numFmtId="164" fontId="5" fillId="10" borderId="1" xfId="0" applyNumberFormat="1" applyFont="1" applyFill="1" applyBorder="1" applyAlignment="1">
      <alignment horizontal="right" vertical="center"/>
    </xf>
    <xf numFmtId="164" fontId="17" fillId="10" borderId="1" xfId="0" applyNumberFormat="1" applyFont="1" applyFill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165" fontId="4" fillId="5" borderId="1" xfId="0" applyNumberFormat="1" applyFont="1" applyFill="1" applyBorder="1" applyAlignment="1">
      <alignment horizontal="right" vertical="center"/>
    </xf>
    <xf numFmtId="167" fontId="18" fillId="0" borderId="1" xfId="0" applyNumberFormat="1" applyFont="1" applyBorder="1" applyAlignment="1">
      <alignment horizontal="right" vertical="center"/>
    </xf>
    <xf numFmtId="167" fontId="17" fillId="0" borderId="1" xfId="0" applyNumberFormat="1" applyFont="1" applyBorder="1" applyAlignment="1">
      <alignment horizontal="right" vertical="center"/>
    </xf>
    <xf numFmtId="167" fontId="4" fillId="5" borderId="1" xfId="0" applyNumberFormat="1" applyFont="1" applyFill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167" fontId="5" fillId="0" borderId="1" xfId="0" applyNumberFormat="1" applyFont="1" applyBorder="1" applyAlignment="1">
      <alignment horizontal="right" vertical="center"/>
    </xf>
    <xf numFmtId="164" fontId="23" fillId="0" borderId="1" xfId="0" applyNumberFormat="1" applyFont="1" applyBorder="1" applyAlignment="1">
      <alignment horizontal="right" vertical="center"/>
    </xf>
    <xf numFmtId="164" fontId="7" fillId="5" borderId="1" xfId="0" applyNumberFormat="1" applyFont="1" applyFill="1" applyBorder="1" applyAlignment="1">
      <alignment horizontal="right" vertical="center"/>
    </xf>
    <xf numFmtId="165" fontId="15" fillId="5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168" fontId="8" fillId="0" borderId="1" xfId="0" applyNumberFormat="1" applyFont="1" applyBorder="1" applyAlignment="1">
      <alignment horizontal="right" vertical="center"/>
    </xf>
    <xf numFmtId="10" fontId="8" fillId="0" borderId="1" xfId="0" applyNumberFormat="1" applyFont="1" applyBorder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169" fontId="8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7A6B"/>
      <rgbColor rgb="FFBFBFBF"/>
      <rgbColor rgb="FF808080"/>
      <rgbColor rgb="FF9999FF"/>
      <rgbColor rgb="FF7030A0"/>
      <rgbColor rgb="FFFFF2CC"/>
      <rgbColor rgb="FFE6F4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E6E6"/>
      <rgbColor rgb="FF99CCFF"/>
      <rgbColor rgb="FFFF99CC"/>
      <rgbColor rgb="FFCC99FF"/>
      <rgbColor rgb="FFF3F5F8"/>
      <rgbColor rgb="FF3366FF"/>
      <rgbColor rgb="FF33CCCC"/>
      <rgbColor rgb="FF99CC00"/>
      <rgbColor rgb="FFFFD700"/>
      <rgbColor rgb="FFFF9900"/>
      <rgbColor rgb="FFFF6600"/>
      <rgbColor rgb="FF595959"/>
      <rgbColor rgb="FF969696"/>
      <rgbColor rgb="FF0F1F3D"/>
      <rgbColor rgb="FF2E8B57"/>
      <rgbColor rgb="FF003300"/>
      <rgbColor rgb="FF375623"/>
      <rgbColor rgb="FF993300"/>
      <rgbColor rgb="FF993366"/>
      <rgbColor rgb="FF1B4F8A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1F3D"/>
  </sheetPr>
  <dimension ref="B2:C25"/>
  <sheetViews>
    <sheetView showGridLines="0" topLeftCell="A4" zoomScaleNormal="100" workbookViewId="0">
      <selection activeCell="G8" sqref="G8"/>
    </sheetView>
  </sheetViews>
  <sheetFormatPr defaultColWidth="8.6640625" defaultRowHeight="14.4" x14ac:dyDescent="0.3"/>
  <cols>
    <col min="1" max="1" width="3" customWidth="1"/>
    <col min="2" max="2" width="50" customWidth="1"/>
    <col min="3" max="3" width="68.109375" customWidth="1"/>
  </cols>
  <sheetData>
    <row r="2" spans="2:3" ht="15" customHeight="1" x14ac:dyDescent="0.3">
      <c r="B2" s="11" t="s">
        <v>0</v>
      </c>
      <c r="C2" s="11"/>
    </row>
    <row r="3" spans="2:3" ht="15" customHeight="1" x14ac:dyDescent="0.3">
      <c r="B3" s="11"/>
      <c r="C3" s="11"/>
    </row>
    <row r="4" spans="2:3" ht="15" customHeight="1" x14ac:dyDescent="0.3">
      <c r="B4" s="11"/>
      <c r="C4" s="11"/>
    </row>
    <row r="5" spans="2:3" ht="15" customHeight="1" x14ac:dyDescent="0.3">
      <c r="B5" s="10" t="s">
        <v>1</v>
      </c>
      <c r="C5" s="10"/>
    </row>
    <row r="6" spans="2:3" ht="15" customHeight="1" x14ac:dyDescent="0.3">
      <c r="B6" s="10"/>
      <c r="C6" s="10"/>
    </row>
    <row r="7" spans="2:3" ht="15" customHeight="1" x14ac:dyDescent="0.3">
      <c r="B7" s="9" t="s">
        <v>2</v>
      </c>
      <c r="C7" s="9"/>
    </row>
    <row r="8" spans="2:3" ht="15" customHeight="1" x14ac:dyDescent="0.3">
      <c r="B8" s="9"/>
      <c r="C8" s="9"/>
    </row>
    <row r="10" spans="2:3" ht="15" customHeight="1" x14ac:dyDescent="0.3">
      <c r="B10" s="12" t="s">
        <v>3</v>
      </c>
      <c r="C10" s="13" t="s">
        <v>4</v>
      </c>
    </row>
    <row r="11" spans="2:3" ht="15" customHeight="1" x14ac:dyDescent="0.3">
      <c r="B11" s="12" t="s">
        <v>5</v>
      </c>
      <c r="C11" s="13" t="s">
        <v>6</v>
      </c>
    </row>
    <row r="12" spans="2:3" ht="15" customHeight="1" x14ac:dyDescent="0.3">
      <c r="B12" s="12" t="s">
        <v>7</v>
      </c>
      <c r="C12" s="13" t="s">
        <v>8</v>
      </c>
    </row>
    <row r="13" spans="2:3" ht="15" customHeight="1" x14ac:dyDescent="0.3">
      <c r="B13" s="12" t="s">
        <v>9</v>
      </c>
      <c r="C13" s="13" t="s">
        <v>10</v>
      </c>
    </row>
    <row r="14" spans="2:3" ht="15" customHeight="1" x14ac:dyDescent="0.3">
      <c r="B14" s="12" t="s">
        <v>11</v>
      </c>
      <c r="C14" s="13" t="s">
        <v>12</v>
      </c>
    </row>
    <row r="15" spans="2:3" ht="15" customHeight="1" x14ac:dyDescent="0.3">
      <c r="B15" s="12" t="s">
        <v>13</v>
      </c>
      <c r="C15" s="13" t="s">
        <v>14</v>
      </c>
    </row>
    <row r="17" spans="2:3" ht="15" customHeight="1" x14ac:dyDescent="0.3">
      <c r="B17" s="14" t="s">
        <v>15</v>
      </c>
      <c r="C17" s="15"/>
    </row>
    <row r="18" spans="2:3" ht="15" customHeight="1" x14ac:dyDescent="0.3">
      <c r="B18" s="16" t="s">
        <v>16</v>
      </c>
      <c r="C18" s="13" t="s">
        <v>17</v>
      </c>
    </row>
    <row r="19" spans="2:3" ht="15" customHeight="1" x14ac:dyDescent="0.3">
      <c r="B19" s="16" t="s">
        <v>18</v>
      </c>
      <c r="C19" s="13" t="s">
        <v>19</v>
      </c>
    </row>
    <row r="20" spans="2:3" ht="15" customHeight="1" x14ac:dyDescent="0.3">
      <c r="B20" s="16" t="s">
        <v>20</v>
      </c>
      <c r="C20" s="13" t="s">
        <v>21</v>
      </c>
    </row>
    <row r="21" spans="2:3" ht="15" customHeight="1" x14ac:dyDescent="0.3">
      <c r="B21" s="16" t="s">
        <v>22</v>
      </c>
      <c r="C21" s="13" t="s">
        <v>23</v>
      </c>
    </row>
    <row r="22" spans="2:3" ht="15" customHeight="1" x14ac:dyDescent="0.3">
      <c r="B22" s="16" t="s">
        <v>24</v>
      </c>
      <c r="C22" s="13" t="s">
        <v>25</v>
      </c>
    </row>
    <row r="23" spans="2:3" ht="15" customHeight="1" x14ac:dyDescent="0.3">
      <c r="B23" s="16" t="s">
        <v>26</v>
      </c>
      <c r="C23" s="13" t="s">
        <v>27</v>
      </c>
    </row>
    <row r="24" spans="2:3" ht="15" customHeight="1" x14ac:dyDescent="0.3">
      <c r="B24" s="16" t="s">
        <v>28</v>
      </c>
      <c r="C24" s="17" t="s">
        <v>29</v>
      </c>
    </row>
    <row r="25" spans="2:3" x14ac:dyDescent="0.3">
      <c r="B25" s="16" t="s">
        <v>30</v>
      </c>
      <c r="C25" s="17" t="s">
        <v>31</v>
      </c>
    </row>
  </sheetData>
  <mergeCells count="3">
    <mergeCell ref="B2:C4"/>
    <mergeCell ref="B5:C6"/>
    <mergeCell ref="B7:C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D700"/>
  </sheetPr>
  <dimension ref="A1:C25"/>
  <sheetViews>
    <sheetView showGridLines="0" zoomScaleNormal="100" workbookViewId="0">
      <selection sqref="A1:C1"/>
    </sheetView>
  </sheetViews>
  <sheetFormatPr defaultColWidth="8.6640625" defaultRowHeight="14.4" x14ac:dyDescent="0.3"/>
  <cols>
    <col min="1" max="1" width="38" customWidth="1"/>
    <col min="2" max="2" width="20" customWidth="1"/>
    <col min="3" max="3" width="35" customWidth="1"/>
  </cols>
  <sheetData>
    <row r="1" spans="1:3" ht="27.75" customHeight="1" x14ac:dyDescent="0.3">
      <c r="A1" s="8" t="s">
        <v>32</v>
      </c>
      <c r="B1" s="8"/>
      <c r="C1" s="8"/>
    </row>
    <row r="3" spans="1:3" ht="15" customHeight="1" x14ac:dyDescent="0.3">
      <c r="A3" s="18" t="s">
        <v>33</v>
      </c>
      <c r="B3" s="18" t="s">
        <v>34</v>
      </c>
      <c r="C3" s="18" t="s">
        <v>35</v>
      </c>
    </row>
    <row r="4" spans="1:3" ht="15" customHeight="1" x14ac:dyDescent="0.3">
      <c r="A4" s="7" t="s">
        <v>36</v>
      </c>
      <c r="B4" s="7"/>
      <c r="C4" s="7"/>
    </row>
    <row r="5" spans="1:3" ht="15" customHeight="1" x14ac:dyDescent="0.3">
      <c r="A5" s="19" t="s">
        <v>37</v>
      </c>
      <c r="B5" s="20">
        <v>15380</v>
      </c>
      <c r="C5" s="21" t="s">
        <v>38</v>
      </c>
    </row>
    <row r="6" spans="1:3" ht="15" customHeight="1" x14ac:dyDescent="0.3">
      <c r="A6" s="19" t="s">
        <v>39</v>
      </c>
      <c r="B6" s="20">
        <v>6</v>
      </c>
      <c r="C6" s="21" t="s">
        <v>40</v>
      </c>
    </row>
    <row r="7" spans="1:3" ht="15" customHeight="1" x14ac:dyDescent="0.3">
      <c r="A7" s="19" t="s">
        <v>41</v>
      </c>
      <c r="B7" s="20">
        <v>120</v>
      </c>
      <c r="C7" s="21" t="s">
        <v>42</v>
      </c>
    </row>
    <row r="8" spans="1:3" ht="15" customHeight="1" x14ac:dyDescent="0.3">
      <c r="A8" s="19" t="s">
        <v>43</v>
      </c>
      <c r="B8" s="20">
        <v>85</v>
      </c>
      <c r="C8" s="21" t="s">
        <v>44</v>
      </c>
    </row>
    <row r="10" spans="1:3" ht="15" customHeight="1" x14ac:dyDescent="0.3">
      <c r="A10" s="7" t="s">
        <v>45</v>
      </c>
      <c r="B10" s="7"/>
      <c r="C10" s="7"/>
    </row>
    <row r="11" spans="1:3" ht="15" customHeight="1" x14ac:dyDescent="0.3">
      <c r="A11" s="19" t="s">
        <v>46</v>
      </c>
      <c r="B11" s="22">
        <v>8.2000000000000003E-2</v>
      </c>
      <c r="C11" s="21" t="s">
        <v>47</v>
      </c>
    </row>
    <row r="12" spans="1:3" ht="15" customHeight="1" x14ac:dyDescent="0.3">
      <c r="A12" s="19" t="s">
        <v>48</v>
      </c>
      <c r="B12" s="22">
        <v>1.67</v>
      </c>
      <c r="C12" s="21" t="s">
        <v>49</v>
      </c>
    </row>
    <row r="13" spans="1:3" ht="15" customHeight="1" x14ac:dyDescent="0.3">
      <c r="A13" s="19" t="s">
        <v>50</v>
      </c>
      <c r="B13" s="22">
        <v>0.08</v>
      </c>
      <c r="C13" s="21" t="s">
        <v>51</v>
      </c>
    </row>
    <row r="15" spans="1:3" ht="15" customHeight="1" x14ac:dyDescent="0.3">
      <c r="A15" s="7" t="s">
        <v>52</v>
      </c>
      <c r="B15" s="7"/>
      <c r="C15" s="7"/>
    </row>
    <row r="16" spans="1:3" ht="15" customHeight="1" x14ac:dyDescent="0.3">
      <c r="A16" s="19" t="s">
        <v>53</v>
      </c>
      <c r="B16" s="22">
        <v>0.46100000000000002</v>
      </c>
      <c r="C16" s="21" t="s">
        <v>54</v>
      </c>
    </row>
    <row r="17" spans="1:3" ht="15" customHeight="1" x14ac:dyDescent="0.3">
      <c r="A17" s="19" t="s">
        <v>55</v>
      </c>
      <c r="B17" s="22">
        <v>0.151</v>
      </c>
      <c r="C17" s="21" t="s">
        <v>56</v>
      </c>
    </row>
    <row r="18" spans="1:3" ht="15" customHeight="1" x14ac:dyDescent="0.3">
      <c r="A18" s="19" t="s">
        <v>57</v>
      </c>
      <c r="B18" s="20">
        <v>32.5</v>
      </c>
      <c r="C18" s="21" t="s">
        <v>58</v>
      </c>
    </row>
    <row r="19" spans="1:3" ht="15" customHeight="1" x14ac:dyDescent="0.3">
      <c r="A19" s="19" t="s">
        <v>59</v>
      </c>
      <c r="B19" s="20">
        <v>1824</v>
      </c>
      <c r="C19" s="21" t="s">
        <v>60</v>
      </c>
    </row>
    <row r="21" spans="1:3" ht="15" customHeight="1" x14ac:dyDescent="0.3">
      <c r="A21" s="7" t="s">
        <v>61</v>
      </c>
      <c r="B21" s="7"/>
      <c r="C21" s="7"/>
    </row>
    <row r="22" spans="1:3" ht="15" customHeight="1" x14ac:dyDescent="0.3">
      <c r="A22" s="19" t="s">
        <v>62</v>
      </c>
      <c r="B22" s="22">
        <v>0.95</v>
      </c>
      <c r="C22" s="21" t="s">
        <v>63</v>
      </c>
    </row>
    <row r="23" spans="1:3" ht="15" customHeight="1" x14ac:dyDescent="0.3">
      <c r="A23" s="19" t="s">
        <v>64</v>
      </c>
      <c r="B23" s="22">
        <v>0.88</v>
      </c>
      <c r="C23" s="21" t="s">
        <v>65</v>
      </c>
    </row>
    <row r="24" spans="1:3" ht="15" customHeight="1" x14ac:dyDescent="0.3">
      <c r="A24" s="19" t="s">
        <v>66</v>
      </c>
      <c r="B24" s="20">
        <v>8925</v>
      </c>
      <c r="C24" s="21" t="s">
        <v>67</v>
      </c>
    </row>
    <row r="25" spans="1:3" ht="15" customHeight="1" x14ac:dyDescent="0.3">
      <c r="A25" s="19" t="s">
        <v>68</v>
      </c>
      <c r="B25" s="22">
        <v>1.02</v>
      </c>
      <c r="C25" s="21" t="s">
        <v>69</v>
      </c>
    </row>
  </sheetData>
  <mergeCells count="5">
    <mergeCell ref="A1:C1"/>
    <mergeCell ref="A4:C4"/>
    <mergeCell ref="A10:C10"/>
    <mergeCell ref="A15:C15"/>
    <mergeCell ref="A21:C2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4F8A"/>
  </sheetPr>
  <dimension ref="A1:AO30"/>
  <sheetViews>
    <sheetView showGridLines="0" zoomScaleNormal="100" workbookViewId="0"/>
  </sheetViews>
  <sheetFormatPr defaultColWidth="8.6640625" defaultRowHeight="14.4" x14ac:dyDescent="0.3"/>
  <cols>
    <col min="1" max="1" width="32" customWidth="1"/>
    <col min="2" max="37" width="9" customWidth="1"/>
    <col min="38" max="40" width="12" customWidth="1"/>
    <col min="41" max="41" width="9" customWidth="1"/>
  </cols>
  <sheetData>
    <row r="1" spans="1:41" ht="27.75" customHeight="1" x14ac:dyDescent="0.3">
      <c r="A1" s="8" t="s">
        <v>70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</row>
    <row r="2" spans="1:41" ht="15" customHeight="1" x14ac:dyDescent="0.3">
      <c r="A2" s="6" t="s">
        <v>71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 ht="18" customHeight="1" x14ac:dyDescent="0.3">
      <c r="B3" s="5" t="s">
        <v>72</v>
      </c>
      <c r="C3" s="5"/>
      <c r="D3" s="5"/>
      <c r="E3" s="5" t="s">
        <v>73</v>
      </c>
      <c r="F3" s="5"/>
      <c r="G3" s="5"/>
      <c r="H3" s="5" t="s">
        <v>74</v>
      </c>
      <c r="I3" s="5"/>
      <c r="J3" s="5"/>
      <c r="K3" s="5" t="s">
        <v>75</v>
      </c>
      <c r="L3" s="5"/>
      <c r="M3" s="5"/>
      <c r="N3" s="5" t="s">
        <v>76</v>
      </c>
      <c r="O3" s="5"/>
      <c r="P3" s="5"/>
      <c r="Q3" s="5" t="s">
        <v>77</v>
      </c>
      <c r="R3" s="5"/>
      <c r="S3" s="5"/>
      <c r="T3" s="5" t="s">
        <v>78</v>
      </c>
      <c r="U3" s="5"/>
      <c r="V3" s="5"/>
      <c r="W3" s="5" t="s">
        <v>79</v>
      </c>
      <c r="X3" s="5"/>
      <c r="Y3" s="5"/>
      <c r="Z3" s="5" t="s">
        <v>80</v>
      </c>
      <c r="AA3" s="5"/>
      <c r="AB3" s="5"/>
      <c r="AC3" s="5" t="s">
        <v>81</v>
      </c>
      <c r="AD3" s="5"/>
      <c r="AE3" s="5"/>
      <c r="AF3" s="5" t="s">
        <v>82</v>
      </c>
      <c r="AG3" s="5"/>
      <c r="AH3" s="5"/>
      <c r="AI3" s="5" t="s">
        <v>83</v>
      </c>
      <c r="AJ3" s="5"/>
      <c r="AK3" s="5"/>
      <c r="AL3" s="23" t="s">
        <v>84</v>
      </c>
      <c r="AM3" s="23" t="s">
        <v>85</v>
      </c>
      <c r="AN3" s="23" t="s">
        <v>86</v>
      </c>
    </row>
    <row r="4" spans="1:41" ht="18" customHeight="1" x14ac:dyDescent="0.3">
      <c r="A4" s="24" t="s">
        <v>87</v>
      </c>
      <c r="B4" s="25" t="s">
        <v>88</v>
      </c>
      <c r="C4" s="26" t="s">
        <v>89</v>
      </c>
      <c r="D4" s="27" t="s">
        <v>90</v>
      </c>
      <c r="E4" s="25" t="s">
        <v>88</v>
      </c>
      <c r="F4" s="26" t="s">
        <v>89</v>
      </c>
      <c r="G4" s="27" t="s">
        <v>90</v>
      </c>
      <c r="H4" s="25" t="s">
        <v>88</v>
      </c>
      <c r="I4" s="26" t="s">
        <v>89</v>
      </c>
      <c r="J4" s="27" t="s">
        <v>90</v>
      </c>
      <c r="K4" s="25" t="s">
        <v>88</v>
      </c>
      <c r="L4" s="26" t="s">
        <v>89</v>
      </c>
      <c r="M4" s="27" t="s">
        <v>90</v>
      </c>
      <c r="N4" s="25" t="s">
        <v>88</v>
      </c>
      <c r="O4" s="26" t="s">
        <v>89</v>
      </c>
      <c r="P4" s="27" t="s">
        <v>90</v>
      </c>
      <c r="Q4" s="25" t="s">
        <v>88</v>
      </c>
      <c r="R4" s="26" t="s">
        <v>89</v>
      </c>
      <c r="S4" s="27" t="s">
        <v>90</v>
      </c>
      <c r="T4" s="25" t="s">
        <v>88</v>
      </c>
      <c r="U4" s="26" t="s">
        <v>89</v>
      </c>
      <c r="V4" s="27" t="s">
        <v>90</v>
      </c>
      <c r="W4" s="25" t="s">
        <v>88</v>
      </c>
      <c r="X4" s="26" t="s">
        <v>89</v>
      </c>
      <c r="Y4" s="27" t="s">
        <v>90</v>
      </c>
      <c r="Z4" s="25" t="s">
        <v>88</v>
      </c>
      <c r="AA4" s="26" t="s">
        <v>89</v>
      </c>
      <c r="AB4" s="27" t="s">
        <v>90</v>
      </c>
      <c r="AC4" s="25" t="s">
        <v>88</v>
      </c>
      <c r="AD4" s="26" t="s">
        <v>89</v>
      </c>
      <c r="AE4" s="27" t="s">
        <v>90</v>
      </c>
      <c r="AF4" s="25" t="s">
        <v>88</v>
      </c>
      <c r="AG4" s="26" t="s">
        <v>89</v>
      </c>
      <c r="AH4" s="27" t="s">
        <v>90</v>
      </c>
      <c r="AI4" s="25" t="s">
        <v>88</v>
      </c>
      <c r="AJ4" s="26" t="s">
        <v>89</v>
      </c>
      <c r="AK4" s="27" t="s">
        <v>90</v>
      </c>
      <c r="AL4" s="28" t="s">
        <v>91</v>
      </c>
      <c r="AM4" s="28" t="s">
        <v>92</v>
      </c>
      <c r="AN4" s="28" t="s">
        <v>93</v>
      </c>
    </row>
    <row r="5" spans="1:41" ht="15" customHeight="1" x14ac:dyDescent="0.3">
      <c r="A5" s="7" t="s">
        <v>94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1" ht="15" customHeight="1" x14ac:dyDescent="0.3">
      <c r="A6" s="12" t="s">
        <v>95</v>
      </c>
      <c r="B6" s="29">
        <v>1180</v>
      </c>
      <c r="C6" s="30">
        <v>1165</v>
      </c>
      <c r="D6" s="31">
        <v>-15</v>
      </c>
      <c r="E6" s="29">
        <v>1180</v>
      </c>
      <c r="F6" s="30">
        <v>1198</v>
      </c>
      <c r="G6" s="32">
        <v>18</v>
      </c>
      <c r="H6" s="29">
        <v>1250</v>
      </c>
      <c r="I6" s="30">
        <v>1241</v>
      </c>
      <c r="J6" s="31">
        <v>-9</v>
      </c>
      <c r="K6" s="29">
        <v>1250</v>
      </c>
      <c r="L6" s="30">
        <v>1287</v>
      </c>
      <c r="M6" s="32">
        <v>37</v>
      </c>
      <c r="N6" s="29">
        <v>1320</v>
      </c>
      <c r="O6" s="30">
        <v>1335</v>
      </c>
      <c r="P6" s="32">
        <v>15</v>
      </c>
      <c r="Q6" s="29">
        <v>1320</v>
      </c>
      <c r="R6" s="30">
        <v>1298</v>
      </c>
      <c r="S6" s="31">
        <v>-22</v>
      </c>
      <c r="T6" s="29">
        <v>1350</v>
      </c>
      <c r="U6" s="30">
        <v>1372</v>
      </c>
      <c r="V6" s="32">
        <v>22</v>
      </c>
      <c r="W6" s="29">
        <v>1350</v>
      </c>
      <c r="X6" s="30">
        <v>1389</v>
      </c>
      <c r="Y6" s="32">
        <v>39</v>
      </c>
      <c r="Z6" s="29">
        <v>1280</v>
      </c>
      <c r="AA6" s="30">
        <v>1261</v>
      </c>
      <c r="AB6" s="31">
        <v>-19</v>
      </c>
      <c r="AC6" s="29">
        <v>1280</v>
      </c>
      <c r="AD6" s="30">
        <v>1244</v>
      </c>
      <c r="AE6" s="31">
        <v>-36</v>
      </c>
      <c r="AF6" s="29">
        <v>1210</v>
      </c>
      <c r="AG6" s="30">
        <v>1198</v>
      </c>
      <c r="AH6" s="31">
        <v>-12</v>
      </c>
      <c r="AI6" s="29">
        <v>1210</v>
      </c>
      <c r="AJ6" s="30">
        <v>1225</v>
      </c>
      <c r="AK6" s="32">
        <v>15</v>
      </c>
      <c r="AL6" s="29">
        <v>15180</v>
      </c>
      <c r="AM6" s="30">
        <v>15213</v>
      </c>
      <c r="AN6" s="30">
        <v>33</v>
      </c>
    </row>
    <row r="8" spans="1:41" ht="15" customHeight="1" x14ac:dyDescent="0.3">
      <c r="A8" s="4" t="s">
        <v>96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</row>
    <row r="9" spans="1:41" ht="15" customHeight="1" x14ac:dyDescent="0.3">
      <c r="A9" s="13" t="s">
        <v>97</v>
      </c>
      <c r="B9" s="33">
        <v>368</v>
      </c>
      <c r="C9" s="34">
        <v>367</v>
      </c>
      <c r="D9" s="35">
        <v>-1</v>
      </c>
      <c r="E9" s="33">
        <v>368</v>
      </c>
      <c r="F9" s="34">
        <v>355</v>
      </c>
      <c r="G9" s="35">
        <v>-13</v>
      </c>
      <c r="H9" s="33">
        <v>390</v>
      </c>
      <c r="I9" s="34">
        <v>386</v>
      </c>
      <c r="J9" s="35">
        <v>-4</v>
      </c>
      <c r="K9" s="33">
        <v>390</v>
      </c>
      <c r="L9" s="34">
        <v>377</v>
      </c>
      <c r="M9" s="35">
        <v>-13</v>
      </c>
      <c r="N9" s="33">
        <v>411</v>
      </c>
      <c r="O9" s="34">
        <v>410</v>
      </c>
      <c r="P9" s="35">
        <v>-1</v>
      </c>
      <c r="Q9" s="33">
        <v>411</v>
      </c>
      <c r="R9" s="34">
        <v>397</v>
      </c>
      <c r="S9" s="35">
        <v>-14</v>
      </c>
      <c r="T9" s="33">
        <v>421</v>
      </c>
      <c r="U9" s="34">
        <v>419</v>
      </c>
      <c r="V9" s="35">
        <v>-2</v>
      </c>
      <c r="W9" s="33">
        <v>421</v>
      </c>
      <c r="X9" s="34">
        <v>415</v>
      </c>
      <c r="Y9" s="35">
        <v>-6</v>
      </c>
      <c r="Z9" s="33">
        <v>399</v>
      </c>
      <c r="AA9" s="34">
        <v>393</v>
      </c>
      <c r="AB9" s="35">
        <v>-6</v>
      </c>
      <c r="AC9" s="33">
        <v>399</v>
      </c>
      <c r="AD9" s="34">
        <v>383</v>
      </c>
      <c r="AE9" s="35">
        <v>-16</v>
      </c>
      <c r="AF9" s="33">
        <v>377</v>
      </c>
      <c r="AG9" s="34">
        <v>366</v>
      </c>
      <c r="AH9" s="35">
        <v>-11</v>
      </c>
      <c r="AI9" s="33">
        <v>377</v>
      </c>
      <c r="AJ9" s="34">
        <v>372</v>
      </c>
      <c r="AK9" s="35">
        <v>-5</v>
      </c>
      <c r="AL9" s="29">
        <v>4732</v>
      </c>
      <c r="AM9" s="30">
        <v>4640</v>
      </c>
      <c r="AN9" s="36">
        <v>-92</v>
      </c>
    </row>
    <row r="10" spans="1:41" ht="15" customHeight="1" x14ac:dyDescent="0.3">
      <c r="A10" s="13" t="s">
        <v>98</v>
      </c>
      <c r="B10" s="33">
        <v>142</v>
      </c>
      <c r="C10" s="34">
        <v>148</v>
      </c>
      <c r="D10" s="34">
        <v>6</v>
      </c>
      <c r="E10" s="33">
        <v>142</v>
      </c>
      <c r="F10" s="34">
        <v>139</v>
      </c>
      <c r="G10" s="35">
        <v>-3</v>
      </c>
      <c r="H10" s="33">
        <v>150</v>
      </c>
      <c r="I10" s="34">
        <v>153</v>
      </c>
      <c r="J10" s="34">
        <v>3</v>
      </c>
      <c r="K10" s="33">
        <v>150</v>
      </c>
      <c r="L10" s="34">
        <v>147</v>
      </c>
      <c r="M10" s="35">
        <v>-3</v>
      </c>
      <c r="N10" s="33">
        <v>158</v>
      </c>
      <c r="O10" s="34">
        <v>162</v>
      </c>
      <c r="P10" s="34">
        <v>4</v>
      </c>
      <c r="Q10" s="33">
        <v>158</v>
      </c>
      <c r="R10" s="34">
        <v>155</v>
      </c>
      <c r="S10" s="35">
        <v>-3</v>
      </c>
      <c r="T10" s="33">
        <v>162</v>
      </c>
      <c r="U10" s="34">
        <v>168</v>
      </c>
      <c r="V10" s="34">
        <v>6</v>
      </c>
      <c r="W10" s="33">
        <v>162</v>
      </c>
      <c r="X10" s="34">
        <v>159</v>
      </c>
      <c r="Y10" s="35">
        <v>-3</v>
      </c>
      <c r="Z10" s="33">
        <v>153</v>
      </c>
      <c r="AA10" s="34">
        <v>155</v>
      </c>
      <c r="AB10" s="34">
        <v>2</v>
      </c>
      <c r="AC10" s="33">
        <v>153</v>
      </c>
      <c r="AD10" s="34">
        <v>149</v>
      </c>
      <c r="AE10" s="35">
        <v>-4</v>
      </c>
      <c r="AF10" s="33">
        <v>145</v>
      </c>
      <c r="AG10" s="34">
        <v>141</v>
      </c>
      <c r="AH10" s="35">
        <v>-4</v>
      </c>
      <c r="AI10" s="33">
        <v>145</v>
      </c>
      <c r="AJ10" s="34">
        <v>148</v>
      </c>
      <c r="AK10" s="34">
        <v>3</v>
      </c>
      <c r="AL10" s="29">
        <v>1820</v>
      </c>
      <c r="AM10" s="30">
        <v>1824</v>
      </c>
      <c r="AN10" s="30">
        <v>4</v>
      </c>
    </row>
    <row r="11" spans="1:41" ht="15" customHeight="1" x14ac:dyDescent="0.3">
      <c r="A11" s="13" t="s">
        <v>99</v>
      </c>
      <c r="B11" s="33">
        <v>127</v>
      </c>
      <c r="C11" s="34">
        <v>136</v>
      </c>
      <c r="D11" s="34">
        <v>9</v>
      </c>
      <c r="E11" s="33">
        <v>127</v>
      </c>
      <c r="F11" s="34">
        <v>132</v>
      </c>
      <c r="G11" s="34">
        <v>5</v>
      </c>
      <c r="H11" s="33">
        <v>135</v>
      </c>
      <c r="I11" s="34">
        <v>144</v>
      </c>
      <c r="J11" s="34">
        <v>9</v>
      </c>
      <c r="K11" s="33">
        <v>135</v>
      </c>
      <c r="L11" s="34">
        <v>140</v>
      </c>
      <c r="M11" s="34">
        <v>5</v>
      </c>
      <c r="N11" s="33">
        <v>142</v>
      </c>
      <c r="O11" s="34">
        <v>152</v>
      </c>
      <c r="P11" s="34">
        <v>10</v>
      </c>
      <c r="Q11" s="33">
        <v>142</v>
      </c>
      <c r="R11" s="34">
        <v>148</v>
      </c>
      <c r="S11" s="34">
        <v>6</v>
      </c>
      <c r="T11" s="33">
        <v>145</v>
      </c>
      <c r="U11" s="34">
        <v>156</v>
      </c>
      <c r="V11" s="34">
        <v>11</v>
      </c>
      <c r="W11" s="33">
        <v>145</v>
      </c>
      <c r="X11" s="34">
        <v>154</v>
      </c>
      <c r="Y11" s="34">
        <v>9</v>
      </c>
      <c r="Z11" s="33">
        <v>138</v>
      </c>
      <c r="AA11" s="34">
        <v>146</v>
      </c>
      <c r="AB11" s="34">
        <v>8</v>
      </c>
      <c r="AC11" s="33">
        <v>138</v>
      </c>
      <c r="AD11" s="34">
        <v>142</v>
      </c>
      <c r="AE11" s="34">
        <v>4</v>
      </c>
      <c r="AF11" s="33">
        <v>130</v>
      </c>
      <c r="AG11" s="34">
        <v>136</v>
      </c>
      <c r="AH11" s="34">
        <v>6</v>
      </c>
      <c r="AI11" s="33">
        <v>130</v>
      </c>
      <c r="AJ11" s="34">
        <v>138</v>
      </c>
      <c r="AK11" s="34">
        <v>8</v>
      </c>
      <c r="AL11" s="29">
        <v>1634</v>
      </c>
      <c r="AM11" s="30">
        <v>1724</v>
      </c>
      <c r="AN11" s="30">
        <v>90</v>
      </c>
    </row>
    <row r="12" spans="1:41" ht="15" customHeight="1" x14ac:dyDescent="0.3">
      <c r="A12" s="13" t="s">
        <v>100</v>
      </c>
      <c r="B12" s="33">
        <v>84</v>
      </c>
      <c r="C12" s="34">
        <v>86</v>
      </c>
      <c r="D12" s="34">
        <v>2</v>
      </c>
      <c r="E12" s="33">
        <v>84</v>
      </c>
      <c r="F12" s="34">
        <v>83</v>
      </c>
      <c r="G12" s="35">
        <v>-1</v>
      </c>
      <c r="H12" s="33">
        <v>90</v>
      </c>
      <c r="I12" s="34">
        <v>90</v>
      </c>
      <c r="J12" s="34">
        <v>0</v>
      </c>
      <c r="K12" s="33">
        <v>90</v>
      </c>
      <c r="L12" s="34">
        <v>88</v>
      </c>
      <c r="M12" s="35">
        <v>-2</v>
      </c>
      <c r="N12" s="33">
        <v>95</v>
      </c>
      <c r="O12" s="34">
        <v>96</v>
      </c>
      <c r="P12" s="34">
        <v>1</v>
      </c>
      <c r="Q12" s="33">
        <v>95</v>
      </c>
      <c r="R12" s="34">
        <v>93</v>
      </c>
      <c r="S12" s="35">
        <v>-2</v>
      </c>
      <c r="T12" s="33">
        <v>97</v>
      </c>
      <c r="U12" s="34">
        <v>98</v>
      </c>
      <c r="V12" s="34">
        <v>1</v>
      </c>
      <c r="W12" s="33">
        <v>97</v>
      </c>
      <c r="X12" s="34">
        <v>97</v>
      </c>
      <c r="Y12" s="34">
        <v>0</v>
      </c>
      <c r="Z12" s="33">
        <v>92</v>
      </c>
      <c r="AA12" s="34">
        <v>92</v>
      </c>
      <c r="AB12" s="34">
        <v>0</v>
      </c>
      <c r="AC12" s="33">
        <v>92</v>
      </c>
      <c r="AD12" s="34">
        <v>90</v>
      </c>
      <c r="AE12" s="35">
        <v>-2</v>
      </c>
      <c r="AF12" s="33">
        <v>87</v>
      </c>
      <c r="AG12" s="34">
        <v>86</v>
      </c>
      <c r="AH12" s="35">
        <v>-1</v>
      </c>
      <c r="AI12" s="33">
        <v>87</v>
      </c>
      <c r="AJ12" s="34">
        <v>87</v>
      </c>
      <c r="AK12" s="34">
        <v>0</v>
      </c>
      <c r="AL12" s="29">
        <v>1090</v>
      </c>
      <c r="AM12" s="30">
        <v>1086</v>
      </c>
      <c r="AN12" s="36">
        <v>-4</v>
      </c>
    </row>
    <row r="13" spans="1:41" ht="15" customHeight="1" x14ac:dyDescent="0.3">
      <c r="A13" s="12" t="s">
        <v>101</v>
      </c>
      <c r="B13" s="29">
        <v>708</v>
      </c>
      <c r="C13" s="30">
        <v>721</v>
      </c>
      <c r="D13" s="32">
        <v>13</v>
      </c>
      <c r="E13" s="29">
        <v>708</v>
      </c>
      <c r="F13" s="30">
        <v>698</v>
      </c>
      <c r="G13" s="31">
        <v>-10</v>
      </c>
      <c r="H13" s="29">
        <v>750</v>
      </c>
      <c r="I13" s="30">
        <v>758</v>
      </c>
      <c r="J13" s="32">
        <v>8</v>
      </c>
      <c r="K13" s="29">
        <v>750</v>
      </c>
      <c r="L13" s="30">
        <v>741</v>
      </c>
      <c r="M13" s="31">
        <v>-9</v>
      </c>
      <c r="N13" s="29">
        <v>792</v>
      </c>
      <c r="O13" s="30">
        <v>804</v>
      </c>
      <c r="P13" s="32">
        <v>12</v>
      </c>
      <c r="Q13" s="29">
        <v>792</v>
      </c>
      <c r="R13" s="30">
        <v>779</v>
      </c>
      <c r="S13" s="31">
        <v>-13</v>
      </c>
      <c r="T13" s="29">
        <v>810</v>
      </c>
      <c r="U13" s="30">
        <v>823</v>
      </c>
      <c r="V13" s="32">
        <v>13</v>
      </c>
      <c r="W13" s="29">
        <v>810</v>
      </c>
      <c r="X13" s="30">
        <v>815</v>
      </c>
      <c r="Y13" s="32">
        <v>5</v>
      </c>
      <c r="Z13" s="29">
        <v>768</v>
      </c>
      <c r="AA13" s="30">
        <v>771</v>
      </c>
      <c r="AB13" s="32">
        <v>3</v>
      </c>
      <c r="AC13" s="29">
        <v>768</v>
      </c>
      <c r="AD13" s="30">
        <v>752</v>
      </c>
      <c r="AE13" s="31">
        <v>-16</v>
      </c>
      <c r="AF13" s="29">
        <v>726</v>
      </c>
      <c r="AG13" s="30">
        <v>718</v>
      </c>
      <c r="AH13" s="31">
        <v>-8</v>
      </c>
      <c r="AI13" s="29">
        <v>726</v>
      </c>
      <c r="AJ13" s="30">
        <v>731</v>
      </c>
      <c r="AK13" s="32">
        <v>5</v>
      </c>
      <c r="AL13" s="29">
        <v>9108</v>
      </c>
      <c r="AM13" s="30">
        <v>9111</v>
      </c>
      <c r="AN13" s="30">
        <v>3</v>
      </c>
    </row>
    <row r="15" spans="1:41" ht="15" customHeight="1" x14ac:dyDescent="0.3">
      <c r="A15" s="3" t="s">
        <v>102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1" ht="15" customHeight="1" x14ac:dyDescent="0.3">
      <c r="A16" s="37" t="s">
        <v>103</v>
      </c>
      <c r="B16" s="38">
        <v>472</v>
      </c>
      <c r="C16" s="39">
        <v>444</v>
      </c>
      <c r="D16" s="31">
        <v>-28</v>
      </c>
      <c r="E16" s="38">
        <v>472</v>
      </c>
      <c r="F16" s="39">
        <v>500</v>
      </c>
      <c r="G16" s="32">
        <v>28</v>
      </c>
      <c r="H16" s="38">
        <v>500</v>
      </c>
      <c r="I16" s="39">
        <v>483</v>
      </c>
      <c r="J16" s="31">
        <v>-17</v>
      </c>
      <c r="K16" s="38">
        <v>500</v>
      </c>
      <c r="L16" s="39">
        <v>546</v>
      </c>
      <c r="M16" s="32">
        <v>46</v>
      </c>
      <c r="N16" s="38">
        <v>528</v>
      </c>
      <c r="O16" s="39">
        <v>531</v>
      </c>
      <c r="P16" s="32">
        <v>3</v>
      </c>
      <c r="Q16" s="38">
        <v>528</v>
      </c>
      <c r="R16" s="39">
        <v>519</v>
      </c>
      <c r="S16" s="31">
        <v>-9</v>
      </c>
      <c r="T16" s="38">
        <v>540</v>
      </c>
      <c r="U16" s="39">
        <v>549</v>
      </c>
      <c r="V16" s="32">
        <v>9</v>
      </c>
      <c r="W16" s="38">
        <v>540</v>
      </c>
      <c r="X16" s="39">
        <v>574</v>
      </c>
      <c r="Y16" s="32">
        <v>34</v>
      </c>
      <c r="Z16" s="38">
        <v>512</v>
      </c>
      <c r="AA16" s="39">
        <v>490</v>
      </c>
      <c r="AB16" s="31">
        <v>-22</v>
      </c>
      <c r="AC16" s="38">
        <v>512</v>
      </c>
      <c r="AD16" s="39">
        <v>492</v>
      </c>
      <c r="AE16" s="31">
        <v>-20</v>
      </c>
      <c r="AF16" s="38">
        <v>484</v>
      </c>
      <c r="AG16" s="39">
        <v>480</v>
      </c>
      <c r="AH16" s="31">
        <v>-4</v>
      </c>
      <c r="AI16" s="38">
        <v>484</v>
      </c>
      <c r="AJ16" s="39">
        <v>494</v>
      </c>
      <c r="AK16" s="32">
        <v>10</v>
      </c>
      <c r="AL16" s="29">
        <v>6072</v>
      </c>
      <c r="AM16" s="30">
        <v>6102</v>
      </c>
      <c r="AN16" s="30">
        <v>30</v>
      </c>
    </row>
    <row r="18" spans="1:40" ht="15" customHeight="1" x14ac:dyDescent="0.3">
      <c r="A18" s="4" t="s">
        <v>104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spans="1:40" ht="15" customHeight="1" x14ac:dyDescent="0.3">
      <c r="A19" s="13" t="s">
        <v>105</v>
      </c>
      <c r="B19" s="33">
        <v>85</v>
      </c>
      <c r="C19" s="34">
        <v>85</v>
      </c>
      <c r="D19" s="34">
        <v>0</v>
      </c>
      <c r="E19" s="33">
        <v>85</v>
      </c>
      <c r="F19" s="34">
        <v>84</v>
      </c>
      <c r="G19" s="35">
        <v>-1</v>
      </c>
      <c r="H19" s="33">
        <v>90</v>
      </c>
      <c r="I19" s="34">
        <v>91</v>
      </c>
      <c r="J19" s="34">
        <v>1</v>
      </c>
      <c r="K19" s="33">
        <v>90</v>
      </c>
      <c r="L19" s="34">
        <v>89</v>
      </c>
      <c r="M19" s="35">
        <v>-1</v>
      </c>
      <c r="N19" s="33">
        <v>94</v>
      </c>
      <c r="O19" s="34">
        <v>96</v>
      </c>
      <c r="P19" s="34">
        <v>2</v>
      </c>
      <c r="Q19" s="33">
        <v>94</v>
      </c>
      <c r="R19" s="34">
        <v>94</v>
      </c>
      <c r="S19" s="34">
        <v>0</v>
      </c>
      <c r="T19" s="33">
        <v>97</v>
      </c>
      <c r="U19" s="34">
        <v>98</v>
      </c>
      <c r="V19" s="34">
        <v>1</v>
      </c>
      <c r="W19" s="33">
        <v>97</v>
      </c>
      <c r="X19" s="34">
        <v>95</v>
      </c>
      <c r="Y19" s="35">
        <v>-2</v>
      </c>
      <c r="Z19" s="33">
        <v>92</v>
      </c>
      <c r="AA19" s="34">
        <v>93</v>
      </c>
      <c r="AB19" s="34">
        <v>1</v>
      </c>
      <c r="AC19" s="33">
        <v>92</v>
      </c>
      <c r="AD19" s="34">
        <v>90</v>
      </c>
      <c r="AE19" s="35">
        <v>-2</v>
      </c>
      <c r="AF19" s="33">
        <v>87</v>
      </c>
      <c r="AG19" s="34">
        <v>88</v>
      </c>
      <c r="AH19" s="34">
        <v>1</v>
      </c>
      <c r="AI19" s="33">
        <v>87</v>
      </c>
      <c r="AJ19" s="34">
        <v>85</v>
      </c>
      <c r="AK19" s="35">
        <v>-2</v>
      </c>
      <c r="AL19" s="29">
        <v>1090</v>
      </c>
      <c r="AM19" s="30">
        <v>1088</v>
      </c>
      <c r="AN19" s="36">
        <v>-2</v>
      </c>
    </row>
    <row r="20" spans="1:40" ht="15" customHeight="1" x14ac:dyDescent="0.3">
      <c r="A20" s="13" t="s">
        <v>106</v>
      </c>
      <c r="B20" s="33">
        <v>52</v>
      </c>
      <c r="C20" s="34">
        <v>53</v>
      </c>
      <c r="D20" s="34">
        <v>1</v>
      </c>
      <c r="E20" s="33">
        <v>52</v>
      </c>
      <c r="F20" s="34">
        <v>52</v>
      </c>
      <c r="G20" s="34">
        <v>0</v>
      </c>
      <c r="H20" s="33">
        <v>56</v>
      </c>
      <c r="I20" s="34">
        <v>56</v>
      </c>
      <c r="J20" s="34">
        <v>0</v>
      </c>
      <c r="K20" s="33">
        <v>56</v>
      </c>
      <c r="L20" s="34">
        <v>55</v>
      </c>
      <c r="M20" s="35">
        <v>-1</v>
      </c>
      <c r="N20" s="33">
        <v>59</v>
      </c>
      <c r="O20" s="34">
        <v>60</v>
      </c>
      <c r="P20" s="34">
        <v>1</v>
      </c>
      <c r="Q20" s="33">
        <v>59</v>
      </c>
      <c r="R20" s="34">
        <v>58</v>
      </c>
      <c r="S20" s="35">
        <v>-1</v>
      </c>
      <c r="T20" s="33">
        <v>60</v>
      </c>
      <c r="U20" s="34">
        <v>61</v>
      </c>
      <c r="V20" s="34">
        <v>1</v>
      </c>
      <c r="W20" s="33">
        <v>60</v>
      </c>
      <c r="X20" s="34">
        <v>59</v>
      </c>
      <c r="Y20" s="35">
        <v>-1</v>
      </c>
      <c r="Z20" s="33">
        <v>57</v>
      </c>
      <c r="AA20" s="34">
        <v>57</v>
      </c>
      <c r="AB20" s="34">
        <v>0</v>
      </c>
      <c r="AC20" s="33">
        <v>57</v>
      </c>
      <c r="AD20" s="34">
        <v>56</v>
      </c>
      <c r="AE20" s="35">
        <v>-1</v>
      </c>
      <c r="AF20" s="33">
        <v>54</v>
      </c>
      <c r="AG20" s="34">
        <v>54</v>
      </c>
      <c r="AH20" s="34">
        <v>0</v>
      </c>
      <c r="AI20" s="33">
        <v>54</v>
      </c>
      <c r="AJ20" s="34">
        <v>53</v>
      </c>
      <c r="AK20" s="35">
        <v>-1</v>
      </c>
      <c r="AL20" s="29">
        <v>676</v>
      </c>
      <c r="AM20" s="30">
        <v>674</v>
      </c>
      <c r="AN20" s="36">
        <v>-2</v>
      </c>
    </row>
    <row r="21" spans="1:40" ht="15" customHeight="1" x14ac:dyDescent="0.3">
      <c r="A21" s="13" t="s">
        <v>107</v>
      </c>
      <c r="B21" s="33">
        <v>32</v>
      </c>
      <c r="C21" s="34">
        <v>32</v>
      </c>
      <c r="D21" s="34">
        <v>0</v>
      </c>
      <c r="E21" s="33">
        <v>32</v>
      </c>
      <c r="F21" s="34">
        <v>31</v>
      </c>
      <c r="G21" s="35">
        <v>-1</v>
      </c>
      <c r="H21" s="33">
        <v>34</v>
      </c>
      <c r="I21" s="34">
        <v>34</v>
      </c>
      <c r="J21" s="34">
        <v>0</v>
      </c>
      <c r="K21" s="33">
        <v>34</v>
      </c>
      <c r="L21" s="34">
        <v>33</v>
      </c>
      <c r="M21" s="35">
        <v>-1</v>
      </c>
      <c r="N21" s="33">
        <v>35</v>
      </c>
      <c r="O21" s="34">
        <v>36</v>
      </c>
      <c r="P21" s="34">
        <v>1</v>
      </c>
      <c r="Q21" s="33">
        <v>35</v>
      </c>
      <c r="R21" s="34">
        <v>35</v>
      </c>
      <c r="S21" s="34">
        <v>0</v>
      </c>
      <c r="T21" s="33">
        <v>36</v>
      </c>
      <c r="U21" s="34">
        <v>37</v>
      </c>
      <c r="V21" s="34">
        <v>1</v>
      </c>
      <c r="W21" s="33">
        <v>36</v>
      </c>
      <c r="X21" s="34">
        <v>36</v>
      </c>
      <c r="Y21" s="34">
        <v>0</v>
      </c>
      <c r="Z21" s="33">
        <v>34</v>
      </c>
      <c r="AA21" s="34">
        <v>35</v>
      </c>
      <c r="AB21" s="34">
        <v>1</v>
      </c>
      <c r="AC21" s="33">
        <v>34</v>
      </c>
      <c r="AD21" s="34">
        <v>34</v>
      </c>
      <c r="AE21" s="34">
        <v>0</v>
      </c>
      <c r="AF21" s="33">
        <v>32</v>
      </c>
      <c r="AG21" s="34">
        <v>33</v>
      </c>
      <c r="AH21" s="34">
        <v>1</v>
      </c>
      <c r="AI21" s="33">
        <v>32</v>
      </c>
      <c r="AJ21" s="34">
        <v>32</v>
      </c>
      <c r="AK21" s="34">
        <v>0</v>
      </c>
      <c r="AL21" s="29">
        <v>406</v>
      </c>
      <c r="AM21" s="30">
        <v>408</v>
      </c>
      <c r="AN21" s="30">
        <v>2</v>
      </c>
    </row>
    <row r="22" spans="1:40" ht="15" customHeight="1" x14ac:dyDescent="0.3">
      <c r="A22" s="13" t="s">
        <v>108</v>
      </c>
      <c r="B22" s="33">
        <v>18</v>
      </c>
      <c r="C22" s="34">
        <v>19</v>
      </c>
      <c r="D22" s="34">
        <v>1</v>
      </c>
      <c r="E22" s="33">
        <v>18</v>
      </c>
      <c r="F22" s="34">
        <v>18</v>
      </c>
      <c r="G22" s="34">
        <v>0</v>
      </c>
      <c r="H22" s="33">
        <v>20</v>
      </c>
      <c r="I22" s="34">
        <v>20</v>
      </c>
      <c r="J22" s="34">
        <v>0</v>
      </c>
      <c r="K22" s="33">
        <v>20</v>
      </c>
      <c r="L22" s="34">
        <v>19</v>
      </c>
      <c r="M22" s="35">
        <v>-1</v>
      </c>
      <c r="N22" s="33">
        <v>21</v>
      </c>
      <c r="O22" s="34">
        <v>21</v>
      </c>
      <c r="P22" s="34">
        <v>0</v>
      </c>
      <c r="Q22" s="33">
        <v>21</v>
      </c>
      <c r="R22" s="34">
        <v>20</v>
      </c>
      <c r="S22" s="35">
        <v>-1</v>
      </c>
      <c r="T22" s="33">
        <v>21</v>
      </c>
      <c r="U22" s="34">
        <v>21</v>
      </c>
      <c r="V22" s="34">
        <v>0</v>
      </c>
      <c r="W22" s="33">
        <v>21</v>
      </c>
      <c r="X22" s="34">
        <v>21</v>
      </c>
      <c r="Y22" s="34">
        <v>0</v>
      </c>
      <c r="Z22" s="33">
        <v>20</v>
      </c>
      <c r="AA22" s="34">
        <v>20</v>
      </c>
      <c r="AB22" s="34">
        <v>0</v>
      </c>
      <c r="AC22" s="33">
        <v>20</v>
      </c>
      <c r="AD22" s="34">
        <v>20</v>
      </c>
      <c r="AE22" s="34">
        <v>0</v>
      </c>
      <c r="AF22" s="33">
        <v>19</v>
      </c>
      <c r="AG22" s="34">
        <v>19</v>
      </c>
      <c r="AH22" s="34">
        <v>0</v>
      </c>
      <c r="AI22" s="33">
        <v>19</v>
      </c>
      <c r="AJ22" s="34">
        <v>19</v>
      </c>
      <c r="AK22" s="34">
        <v>0</v>
      </c>
      <c r="AL22" s="29">
        <v>238</v>
      </c>
      <c r="AM22" s="30">
        <v>237</v>
      </c>
      <c r="AN22" s="36">
        <v>-1</v>
      </c>
    </row>
    <row r="23" spans="1:40" ht="15" customHeight="1" x14ac:dyDescent="0.3">
      <c r="A23" s="12" t="s">
        <v>109</v>
      </c>
      <c r="B23" s="29">
        <v>189</v>
      </c>
      <c r="C23" s="30">
        <v>191</v>
      </c>
      <c r="D23" s="32">
        <v>2</v>
      </c>
      <c r="E23" s="29">
        <v>189</v>
      </c>
      <c r="F23" s="30">
        <v>187</v>
      </c>
      <c r="G23" s="31">
        <v>-2</v>
      </c>
      <c r="H23" s="29">
        <v>200</v>
      </c>
      <c r="I23" s="30">
        <v>203</v>
      </c>
      <c r="J23" s="32">
        <v>3</v>
      </c>
      <c r="K23" s="29">
        <v>200</v>
      </c>
      <c r="L23" s="30">
        <v>198</v>
      </c>
      <c r="M23" s="31">
        <v>-2</v>
      </c>
      <c r="N23" s="29">
        <v>211</v>
      </c>
      <c r="O23" s="30">
        <v>215</v>
      </c>
      <c r="P23" s="32">
        <v>4</v>
      </c>
      <c r="Q23" s="29">
        <v>211</v>
      </c>
      <c r="R23" s="30">
        <v>209</v>
      </c>
      <c r="S23" s="31">
        <v>-2</v>
      </c>
      <c r="T23" s="29">
        <v>216</v>
      </c>
      <c r="U23" s="30">
        <v>219</v>
      </c>
      <c r="V23" s="32">
        <v>3</v>
      </c>
      <c r="W23" s="29">
        <v>216</v>
      </c>
      <c r="X23" s="30">
        <v>212</v>
      </c>
      <c r="Y23" s="31">
        <v>-4</v>
      </c>
      <c r="Z23" s="29">
        <v>205</v>
      </c>
      <c r="AA23" s="30">
        <v>207</v>
      </c>
      <c r="AB23" s="32">
        <v>2</v>
      </c>
      <c r="AC23" s="29">
        <v>205</v>
      </c>
      <c r="AD23" s="30">
        <v>201</v>
      </c>
      <c r="AE23" s="31">
        <v>-4</v>
      </c>
      <c r="AF23" s="29">
        <v>194</v>
      </c>
      <c r="AG23" s="30">
        <v>196</v>
      </c>
      <c r="AH23" s="32">
        <v>2</v>
      </c>
      <c r="AI23" s="29">
        <v>194</v>
      </c>
      <c r="AJ23" s="30">
        <v>191</v>
      </c>
      <c r="AK23" s="31">
        <v>-3</v>
      </c>
      <c r="AL23" s="29">
        <v>2430</v>
      </c>
      <c r="AM23" s="30">
        <v>2429</v>
      </c>
      <c r="AN23" s="36">
        <v>-1</v>
      </c>
    </row>
    <row r="25" spans="1:40" ht="15" customHeight="1" x14ac:dyDescent="0.3">
      <c r="A25" s="7" t="s">
        <v>110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 ht="15" customHeight="1" x14ac:dyDescent="0.3">
      <c r="A26" s="12" t="s">
        <v>110</v>
      </c>
      <c r="B26" s="29">
        <v>283</v>
      </c>
      <c r="C26" s="30">
        <v>253</v>
      </c>
      <c r="D26" s="31">
        <v>-30</v>
      </c>
      <c r="E26" s="29">
        <v>283</v>
      </c>
      <c r="F26" s="30">
        <v>313</v>
      </c>
      <c r="G26" s="32">
        <v>30</v>
      </c>
      <c r="H26" s="29">
        <v>300</v>
      </c>
      <c r="I26" s="30">
        <v>280</v>
      </c>
      <c r="J26" s="31">
        <v>-20</v>
      </c>
      <c r="K26" s="29">
        <v>300</v>
      </c>
      <c r="L26" s="30">
        <v>348</v>
      </c>
      <c r="M26" s="32">
        <v>48</v>
      </c>
      <c r="N26" s="29">
        <v>317</v>
      </c>
      <c r="O26" s="30">
        <v>316</v>
      </c>
      <c r="P26" s="31">
        <v>-1</v>
      </c>
      <c r="Q26" s="29">
        <v>317</v>
      </c>
      <c r="R26" s="30">
        <v>310</v>
      </c>
      <c r="S26" s="31">
        <v>-7</v>
      </c>
      <c r="T26" s="29">
        <v>324</v>
      </c>
      <c r="U26" s="30">
        <v>330</v>
      </c>
      <c r="V26" s="32">
        <v>6</v>
      </c>
      <c r="W26" s="29">
        <v>324</v>
      </c>
      <c r="X26" s="30">
        <v>362</v>
      </c>
      <c r="Y26" s="32">
        <v>38</v>
      </c>
      <c r="Z26" s="29">
        <v>307</v>
      </c>
      <c r="AA26" s="30">
        <v>283</v>
      </c>
      <c r="AB26" s="31">
        <v>-24</v>
      </c>
      <c r="AC26" s="29">
        <v>307</v>
      </c>
      <c r="AD26" s="30">
        <v>291</v>
      </c>
      <c r="AE26" s="31">
        <v>-16</v>
      </c>
      <c r="AF26" s="29">
        <v>290</v>
      </c>
      <c r="AG26" s="30">
        <v>284</v>
      </c>
      <c r="AH26" s="31">
        <v>-6</v>
      </c>
      <c r="AI26" s="29">
        <v>290</v>
      </c>
      <c r="AJ26" s="30">
        <v>303</v>
      </c>
      <c r="AK26" s="32">
        <v>13</v>
      </c>
      <c r="AL26" s="29">
        <v>3642</v>
      </c>
      <c r="AM26" s="30">
        <v>3673</v>
      </c>
      <c r="AN26" s="30">
        <v>31</v>
      </c>
    </row>
    <row r="27" spans="1:40" ht="15" customHeight="1" x14ac:dyDescent="0.3">
      <c r="A27" s="40" t="s">
        <v>111</v>
      </c>
      <c r="B27" s="41">
        <v>0.23983050847457599</v>
      </c>
      <c r="C27" s="41">
        <v>0.21716738197424901</v>
      </c>
      <c r="D27" s="42"/>
      <c r="E27" s="41">
        <v>0.23983050847457599</v>
      </c>
      <c r="F27" s="41">
        <v>0.26126878130217002</v>
      </c>
      <c r="G27" s="42"/>
      <c r="H27" s="41">
        <v>0.24</v>
      </c>
      <c r="I27" s="41">
        <v>0.22562449637389201</v>
      </c>
      <c r="J27" s="42"/>
      <c r="K27" s="41">
        <v>0.24</v>
      </c>
      <c r="L27" s="41">
        <v>0.27039627039627001</v>
      </c>
      <c r="M27" s="42"/>
      <c r="N27" s="41">
        <v>0.240151515151515</v>
      </c>
      <c r="O27" s="41">
        <v>0.23670411985018699</v>
      </c>
      <c r="P27" s="42"/>
      <c r="Q27" s="41">
        <v>0.240151515151515</v>
      </c>
      <c r="R27" s="41">
        <v>0.23882896764252701</v>
      </c>
      <c r="S27" s="42"/>
      <c r="T27" s="41">
        <v>0.24</v>
      </c>
      <c r="U27" s="41">
        <v>0.240524781341108</v>
      </c>
      <c r="V27" s="42"/>
      <c r="W27" s="41">
        <v>0.24</v>
      </c>
      <c r="X27" s="41">
        <v>0.26061915046796302</v>
      </c>
      <c r="Y27" s="42"/>
      <c r="Z27" s="41">
        <v>0.23984374999999999</v>
      </c>
      <c r="AA27" s="41">
        <v>0.22442505947660599</v>
      </c>
      <c r="AB27" s="42"/>
      <c r="AC27" s="41">
        <v>0.23984374999999999</v>
      </c>
      <c r="AD27" s="41">
        <v>0.23392282958199401</v>
      </c>
      <c r="AE27" s="42"/>
      <c r="AF27" s="41">
        <v>0.23966942148760301</v>
      </c>
      <c r="AG27" s="41">
        <v>0.23706176961602701</v>
      </c>
      <c r="AH27" s="42"/>
      <c r="AI27" s="41">
        <v>0.23966942148760301</v>
      </c>
      <c r="AJ27" s="41">
        <v>0.24734693877551001</v>
      </c>
      <c r="AK27" s="42"/>
      <c r="AL27" s="43"/>
      <c r="AM27" s="43"/>
      <c r="AN27" s="43"/>
    </row>
    <row r="29" spans="1:40" ht="15" customHeight="1" x14ac:dyDescent="0.3">
      <c r="A29" s="4" t="s">
        <v>112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</row>
    <row r="30" spans="1:40" ht="15" customHeight="1" x14ac:dyDescent="0.3">
      <c r="A30" s="13" t="s">
        <v>113</v>
      </c>
      <c r="B30" s="33">
        <v>118</v>
      </c>
      <c r="C30" s="34">
        <v>117</v>
      </c>
      <c r="D30" s="35">
        <v>-1</v>
      </c>
      <c r="E30" s="33">
        <v>118</v>
      </c>
      <c r="F30" s="34">
        <v>119</v>
      </c>
      <c r="G30" s="34">
        <v>1</v>
      </c>
      <c r="H30" s="33">
        <v>119</v>
      </c>
      <c r="I30" s="34">
        <v>119</v>
      </c>
      <c r="J30" s="34">
        <v>0</v>
      </c>
      <c r="K30" s="33">
        <v>119</v>
      </c>
      <c r="L30" s="34">
        <v>120</v>
      </c>
      <c r="M30" s="34">
        <v>1</v>
      </c>
      <c r="N30" s="33">
        <v>121</v>
      </c>
      <c r="O30" s="34">
        <v>122</v>
      </c>
      <c r="P30" s="34">
        <v>1</v>
      </c>
      <c r="Q30" s="33">
        <v>121</v>
      </c>
      <c r="R30" s="34">
        <v>121</v>
      </c>
      <c r="S30" s="34">
        <v>0</v>
      </c>
      <c r="T30" s="33">
        <v>122</v>
      </c>
      <c r="U30" s="34">
        <v>123</v>
      </c>
      <c r="V30" s="34">
        <v>1</v>
      </c>
      <c r="W30" s="33">
        <v>122</v>
      </c>
      <c r="X30" s="34">
        <v>122</v>
      </c>
      <c r="Y30" s="34">
        <v>0</v>
      </c>
      <c r="Z30" s="33">
        <v>120</v>
      </c>
      <c r="AA30" s="34">
        <v>120</v>
      </c>
      <c r="AB30" s="34">
        <v>0</v>
      </c>
      <c r="AC30" s="33">
        <v>120</v>
      </c>
      <c r="AD30" s="34">
        <v>119</v>
      </c>
      <c r="AE30" s="35">
        <v>-1</v>
      </c>
      <c r="AF30" s="33">
        <v>119</v>
      </c>
      <c r="AG30" s="34">
        <v>118</v>
      </c>
      <c r="AH30" s="35">
        <v>-1</v>
      </c>
      <c r="AI30" s="33">
        <v>119</v>
      </c>
      <c r="AJ30" s="34">
        <v>120</v>
      </c>
      <c r="AK30" s="34">
        <v>1</v>
      </c>
      <c r="AL30" s="29">
        <v>1438</v>
      </c>
      <c r="AM30" s="30">
        <v>1440</v>
      </c>
      <c r="AN30" s="30">
        <v>2</v>
      </c>
    </row>
  </sheetData>
  <mergeCells count="20">
    <mergeCell ref="A29:AN29"/>
    <mergeCell ref="A5:AN5"/>
    <mergeCell ref="A8:AN8"/>
    <mergeCell ref="A15:AN15"/>
    <mergeCell ref="A18:AN18"/>
    <mergeCell ref="A25:AN25"/>
    <mergeCell ref="A1:AO1"/>
    <mergeCell ref="A2:AO2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G24"/>
  <sheetViews>
    <sheetView showGridLines="0" topLeftCell="A4" zoomScaleNormal="100" workbookViewId="0">
      <selection sqref="A1:G1"/>
    </sheetView>
  </sheetViews>
  <sheetFormatPr defaultColWidth="8.6640625" defaultRowHeight="14.4" x14ac:dyDescent="0.3"/>
  <cols>
    <col min="1" max="1" width="30" customWidth="1"/>
    <col min="2" max="4" width="14" customWidth="1"/>
    <col min="5" max="6" width="10" customWidth="1"/>
    <col min="7" max="7" width="103.77734375" customWidth="1"/>
  </cols>
  <sheetData>
    <row r="1" spans="1:7" ht="27.75" customHeight="1" x14ac:dyDescent="0.3">
      <c r="A1" s="8" t="s">
        <v>114</v>
      </c>
      <c r="B1" s="8"/>
      <c r="C1" s="8"/>
      <c r="D1" s="8"/>
      <c r="E1" s="8"/>
      <c r="F1" s="8"/>
      <c r="G1" s="8"/>
    </row>
    <row r="2" spans="1:7" ht="15" customHeight="1" x14ac:dyDescent="0.3">
      <c r="A2" s="6" t="s">
        <v>115</v>
      </c>
      <c r="B2" s="6"/>
      <c r="C2" s="6"/>
      <c r="D2" s="6"/>
      <c r="E2" s="6"/>
      <c r="F2" s="6"/>
      <c r="G2" s="6"/>
    </row>
    <row r="3" spans="1:7" ht="19.5" customHeight="1" x14ac:dyDescent="0.3">
      <c r="A3" s="18" t="s">
        <v>116</v>
      </c>
      <c r="B3" s="18" t="s">
        <v>117</v>
      </c>
      <c r="C3" s="18" t="s">
        <v>118</v>
      </c>
      <c r="D3" s="18" t="s">
        <v>119</v>
      </c>
      <c r="E3" s="18" t="s">
        <v>120</v>
      </c>
      <c r="F3" s="18" t="s">
        <v>121</v>
      </c>
      <c r="G3" s="18" t="s">
        <v>122</v>
      </c>
    </row>
    <row r="4" spans="1:7" ht="15" customHeight="1" x14ac:dyDescent="0.3">
      <c r="A4" s="7" t="s">
        <v>94</v>
      </c>
      <c r="B4" s="7"/>
      <c r="C4" s="7"/>
      <c r="D4" s="7"/>
      <c r="E4" s="7"/>
      <c r="F4" s="7"/>
      <c r="G4" s="7"/>
    </row>
    <row r="5" spans="1:7" ht="39.75" customHeight="1" x14ac:dyDescent="0.3">
      <c r="A5" s="13" t="s">
        <v>95</v>
      </c>
      <c r="B5" s="33">
        <v>15180</v>
      </c>
      <c r="C5" s="34">
        <v>15213</v>
      </c>
      <c r="D5" s="34">
        <v>33</v>
      </c>
      <c r="E5" s="44">
        <v>2.17391304347826E-3</v>
      </c>
      <c r="F5" s="45" t="s">
        <v>123</v>
      </c>
      <c r="G5" s="46" t="s">
        <v>124</v>
      </c>
    </row>
    <row r="7" spans="1:7" ht="15" customHeight="1" x14ac:dyDescent="0.3">
      <c r="A7" s="4" t="s">
        <v>96</v>
      </c>
      <c r="B7" s="4"/>
      <c r="C7" s="4"/>
      <c r="D7" s="4"/>
      <c r="E7" s="4"/>
      <c r="F7" s="4"/>
      <c r="G7" s="4"/>
    </row>
    <row r="8" spans="1:7" ht="39.75" customHeight="1" x14ac:dyDescent="0.3">
      <c r="A8" s="13" t="s">
        <v>97</v>
      </c>
      <c r="B8" s="33">
        <v>4732</v>
      </c>
      <c r="C8" s="34">
        <v>4640</v>
      </c>
      <c r="D8" s="35">
        <v>-92</v>
      </c>
      <c r="E8" s="47">
        <v>-1.94420963651733E-2</v>
      </c>
      <c r="F8" s="45" t="s">
        <v>123</v>
      </c>
      <c r="G8" s="46" t="s">
        <v>125</v>
      </c>
    </row>
    <row r="9" spans="1:7" ht="39.75" customHeight="1" x14ac:dyDescent="0.3">
      <c r="A9" s="13" t="s">
        <v>98</v>
      </c>
      <c r="B9" s="33">
        <v>1820</v>
      </c>
      <c r="C9" s="34">
        <v>1824</v>
      </c>
      <c r="D9" s="34">
        <v>4</v>
      </c>
      <c r="E9" s="44">
        <v>2.1978021978022E-3</v>
      </c>
      <c r="F9" s="45" t="s">
        <v>123</v>
      </c>
      <c r="G9" s="46" t="s">
        <v>126</v>
      </c>
    </row>
    <row r="10" spans="1:7" ht="39.75" customHeight="1" x14ac:dyDescent="0.3">
      <c r="A10" s="13" t="s">
        <v>99</v>
      </c>
      <c r="B10" s="33">
        <v>1634</v>
      </c>
      <c r="C10" s="34">
        <v>1724</v>
      </c>
      <c r="D10" s="34">
        <v>90</v>
      </c>
      <c r="E10" s="44">
        <v>5.5079559363525099E-2</v>
      </c>
      <c r="F10" s="48" t="s">
        <v>127</v>
      </c>
      <c r="G10" s="46" t="s">
        <v>128</v>
      </c>
    </row>
    <row r="11" spans="1:7" ht="39.75" customHeight="1" x14ac:dyDescent="0.3">
      <c r="A11" s="13" t="s">
        <v>100</v>
      </c>
      <c r="B11" s="33">
        <v>1090</v>
      </c>
      <c r="C11" s="34">
        <v>1086</v>
      </c>
      <c r="D11" s="35">
        <v>-4</v>
      </c>
      <c r="E11" s="47">
        <v>-3.6697247706421999E-3</v>
      </c>
      <c r="F11" s="45" t="s">
        <v>123</v>
      </c>
      <c r="G11" s="46" t="s">
        <v>129</v>
      </c>
    </row>
    <row r="12" spans="1:7" ht="39.75" customHeight="1" x14ac:dyDescent="0.3">
      <c r="A12" s="13" t="s">
        <v>101</v>
      </c>
      <c r="B12" s="33">
        <v>9108</v>
      </c>
      <c r="C12" s="34">
        <v>9111</v>
      </c>
      <c r="D12" s="34">
        <v>3</v>
      </c>
      <c r="E12" s="44">
        <v>3.2938076416337298E-4</v>
      </c>
      <c r="F12" s="45" t="s">
        <v>123</v>
      </c>
      <c r="G12" s="46" t="s">
        <v>130</v>
      </c>
    </row>
    <row r="14" spans="1:7" ht="15" customHeight="1" x14ac:dyDescent="0.3">
      <c r="A14" s="3" t="s">
        <v>102</v>
      </c>
      <c r="B14" s="3"/>
      <c r="C14" s="3"/>
      <c r="D14" s="3"/>
      <c r="E14" s="3"/>
      <c r="F14" s="3"/>
      <c r="G14" s="3"/>
    </row>
    <row r="15" spans="1:7" ht="39.75" customHeight="1" x14ac:dyDescent="0.3">
      <c r="A15" s="13" t="s">
        <v>103</v>
      </c>
      <c r="B15" s="33">
        <v>6072</v>
      </c>
      <c r="C15" s="34">
        <v>6102</v>
      </c>
      <c r="D15" s="34">
        <v>30</v>
      </c>
      <c r="E15" s="44">
        <v>4.9407114624505904E-3</v>
      </c>
      <c r="F15" s="45" t="s">
        <v>123</v>
      </c>
      <c r="G15" s="46" t="s">
        <v>131</v>
      </c>
    </row>
    <row r="17" spans="1:7" ht="15" customHeight="1" x14ac:dyDescent="0.3">
      <c r="A17" s="4" t="s">
        <v>104</v>
      </c>
      <c r="B17" s="4"/>
      <c r="C17" s="4"/>
      <c r="D17" s="4"/>
      <c r="E17" s="4"/>
      <c r="F17" s="4"/>
      <c r="G17" s="4"/>
    </row>
    <row r="18" spans="1:7" ht="39.75" customHeight="1" x14ac:dyDescent="0.3">
      <c r="A18" s="13" t="s">
        <v>105</v>
      </c>
      <c r="B18" s="33">
        <v>1090</v>
      </c>
      <c r="C18" s="34">
        <v>1088</v>
      </c>
      <c r="D18" s="35">
        <v>-2</v>
      </c>
      <c r="E18" s="47">
        <v>-1.8348623853210999E-3</v>
      </c>
      <c r="F18" s="45" t="s">
        <v>123</v>
      </c>
      <c r="G18" s="46" t="s">
        <v>132</v>
      </c>
    </row>
    <row r="19" spans="1:7" ht="39.75" customHeight="1" x14ac:dyDescent="0.3">
      <c r="A19" s="13" t="s">
        <v>106</v>
      </c>
      <c r="B19" s="33">
        <v>676</v>
      </c>
      <c r="C19" s="34">
        <v>674</v>
      </c>
      <c r="D19" s="35">
        <v>-2</v>
      </c>
      <c r="E19" s="47">
        <v>-2.9585798816568099E-3</v>
      </c>
      <c r="F19" s="45" t="s">
        <v>123</v>
      </c>
      <c r="G19" s="46" t="s">
        <v>133</v>
      </c>
    </row>
    <row r="20" spans="1:7" ht="39.75" customHeight="1" x14ac:dyDescent="0.3">
      <c r="A20" s="13" t="s">
        <v>107</v>
      </c>
      <c r="B20" s="33">
        <v>406</v>
      </c>
      <c r="C20" s="34">
        <v>408</v>
      </c>
      <c r="D20" s="34">
        <v>2</v>
      </c>
      <c r="E20" s="44">
        <v>4.92610837438424E-3</v>
      </c>
      <c r="F20" s="45" t="s">
        <v>123</v>
      </c>
      <c r="G20" s="46" t="s">
        <v>134</v>
      </c>
    </row>
    <row r="21" spans="1:7" ht="39.75" customHeight="1" x14ac:dyDescent="0.3">
      <c r="A21" s="13" t="s">
        <v>109</v>
      </c>
      <c r="B21" s="33">
        <v>2430</v>
      </c>
      <c r="C21" s="34">
        <v>2429</v>
      </c>
      <c r="D21" s="35">
        <v>-1</v>
      </c>
      <c r="E21" s="47">
        <v>-4.1152263374485601E-4</v>
      </c>
      <c r="F21" s="45" t="s">
        <v>123</v>
      </c>
      <c r="G21" s="46" t="s">
        <v>135</v>
      </c>
    </row>
    <row r="23" spans="1:7" ht="15" customHeight="1" x14ac:dyDescent="0.3">
      <c r="A23" s="7" t="s">
        <v>110</v>
      </c>
      <c r="B23" s="7"/>
      <c r="C23" s="7"/>
      <c r="D23" s="7"/>
      <c r="E23" s="7"/>
      <c r="F23" s="7"/>
      <c r="G23" s="7"/>
    </row>
    <row r="24" spans="1:7" ht="39.75" customHeight="1" x14ac:dyDescent="0.3">
      <c r="A24" s="13" t="s">
        <v>110</v>
      </c>
      <c r="B24" s="33">
        <v>3642</v>
      </c>
      <c r="C24" s="34">
        <v>3673</v>
      </c>
      <c r="D24" s="34">
        <v>31</v>
      </c>
      <c r="E24" s="44">
        <v>8.5118066996156001E-3</v>
      </c>
      <c r="F24" s="45" t="s">
        <v>123</v>
      </c>
      <c r="G24" s="46" t="s">
        <v>136</v>
      </c>
    </row>
  </sheetData>
  <mergeCells count="7">
    <mergeCell ref="A17:G17"/>
    <mergeCell ref="A23:G23"/>
    <mergeCell ref="A1:G1"/>
    <mergeCell ref="A2:G2"/>
    <mergeCell ref="A4:G4"/>
    <mergeCell ref="A7:G7"/>
    <mergeCell ref="A14:G1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D7A6B"/>
  </sheetPr>
  <dimension ref="A1:O32"/>
  <sheetViews>
    <sheetView showGridLines="0" zoomScaleNormal="100" workbookViewId="0">
      <selection sqref="A1:O1"/>
    </sheetView>
  </sheetViews>
  <sheetFormatPr defaultColWidth="8.6640625" defaultRowHeight="14.4" x14ac:dyDescent="0.3"/>
  <cols>
    <col min="1" max="1" width="28" customWidth="1"/>
    <col min="2" max="14" width="10" customWidth="1"/>
    <col min="15" max="15" width="16.77734375" customWidth="1"/>
  </cols>
  <sheetData>
    <row r="1" spans="1:15" ht="27.75" customHeight="1" x14ac:dyDescent="0.3">
      <c r="A1" s="8" t="s">
        <v>137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3" spans="1:15" ht="15" customHeight="1" x14ac:dyDescent="0.3">
      <c r="A3" s="49" t="s">
        <v>138</v>
      </c>
      <c r="B3" s="18" t="s">
        <v>72</v>
      </c>
      <c r="C3" s="18" t="s">
        <v>73</v>
      </c>
      <c r="D3" s="18" t="s">
        <v>74</v>
      </c>
      <c r="E3" s="18" t="s">
        <v>75</v>
      </c>
      <c r="F3" s="18" t="s">
        <v>76</v>
      </c>
      <c r="G3" s="18" t="s">
        <v>77</v>
      </c>
      <c r="H3" s="18" t="s">
        <v>78</v>
      </c>
      <c r="I3" s="18" t="s">
        <v>79</v>
      </c>
      <c r="J3" s="18" t="s">
        <v>80</v>
      </c>
      <c r="K3" s="18" t="s">
        <v>81</v>
      </c>
      <c r="L3" s="18" t="s">
        <v>82</v>
      </c>
      <c r="M3" s="18" t="s">
        <v>83</v>
      </c>
      <c r="N3" s="23" t="s">
        <v>139</v>
      </c>
      <c r="O3" s="23" t="s">
        <v>140</v>
      </c>
    </row>
    <row r="4" spans="1:15" ht="15" customHeight="1" x14ac:dyDescent="0.3">
      <c r="A4" s="4" t="s">
        <v>141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3">
      <c r="A5" s="19" t="s">
        <v>142</v>
      </c>
      <c r="B5" s="50">
        <v>22</v>
      </c>
      <c r="C5" s="50">
        <v>22</v>
      </c>
      <c r="D5" s="50">
        <v>22</v>
      </c>
      <c r="E5" s="50">
        <v>23</v>
      </c>
      <c r="F5" s="50">
        <v>23</v>
      </c>
      <c r="G5" s="50">
        <v>23</v>
      </c>
      <c r="H5" s="50">
        <v>23</v>
      </c>
      <c r="I5" s="50">
        <v>23</v>
      </c>
      <c r="J5" s="50">
        <v>22</v>
      </c>
      <c r="K5" s="50">
        <v>22</v>
      </c>
      <c r="L5" s="50">
        <v>22</v>
      </c>
      <c r="M5" s="50">
        <v>22</v>
      </c>
      <c r="N5" s="51">
        <f>AVERAGE(B5:M5)</f>
        <v>22.416666666666668</v>
      </c>
    </row>
    <row r="6" spans="1:15" ht="15" customHeight="1" x14ac:dyDescent="0.3">
      <c r="A6" s="13" t="s">
        <v>143</v>
      </c>
      <c r="B6" s="34">
        <v>21</v>
      </c>
      <c r="C6" s="34">
        <v>22</v>
      </c>
      <c r="D6" s="34">
        <v>22</v>
      </c>
      <c r="E6" s="34">
        <v>23</v>
      </c>
      <c r="F6" s="34">
        <v>24</v>
      </c>
      <c r="G6" s="34">
        <v>23</v>
      </c>
      <c r="H6" s="34">
        <v>23</v>
      </c>
      <c r="I6" s="34">
        <v>23</v>
      </c>
      <c r="J6" s="34">
        <v>22</v>
      </c>
      <c r="K6" s="34">
        <v>22</v>
      </c>
      <c r="L6" s="34">
        <v>21</v>
      </c>
      <c r="M6" s="34">
        <v>22</v>
      </c>
      <c r="N6" s="52">
        <f>AVERAGE(B6:M6)</f>
        <v>22.333333333333332</v>
      </c>
    </row>
    <row r="7" spans="1:15" ht="15" customHeight="1" x14ac:dyDescent="0.3">
      <c r="A7" s="40" t="s">
        <v>93</v>
      </c>
      <c r="B7" s="53">
        <v>-1</v>
      </c>
      <c r="C7" s="54">
        <v>0</v>
      </c>
      <c r="D7" s="54">
        <v>0</v>
      </c>
      <c r="E7" s="54">
        <v>0</v>
      </c>
      <c r="F7" s="55">
        <v>1</v>
      </c>
      <c r="G7" s="54">
        <v>0</v>
      </c>
      <c r="H7" s="54">
        <v>0</v>
      </c>
      <c r="I7" s="54">
        <v>0</v>
      </c>
      <c r="J7" s="54">
        <v>0</v>
      </c>
      <c r="K7" s="54">
        <v>0</v>
      </c>
      <c r="L7" s="53">
        <v>-1</v>
      </c>
      <c r="M7" s="54">
        <v>0</v>
      </c>
      <c r="N7" s="43"/>
      <c r="O7" s="31">
        <v>-1</v>
      </c>
    </row>
    <row r="9" spans="1:15" ht="15" customHeight="1" x14ac:dyDescent="0.3">
      <c r="A9" s="4" t="s">
        <v>144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ht="15" customHeight="1" x14ac:dyDescent="0.3">
      <c r="A10" s="19" t="s">
        <v>142</v>
      </c>
      <c r="B10" s="50">
        <v>18</v>
      </c>
      <c r="C10" s="50">
        <v>18</v>
      </c>
      <c r="D10" s="50">
        <v>19</v>
      </c>
      <c r="E10" s="50">
        <v>19</v>
      </c>
      <c r="F10" s="50">
        <v>20</v>
      </c>
      <c r="G10" s="50">
        <v>20</v>
      </c>
      <c r="H10" s="50">
        <v>20</v>
      </c>
      <c r="I10" s="50">
        <v>20</v>
      </c>
      <c r="J10" s="50">
        <v>19</v>
      </c>
      <c r="K10" s="50">
        <v>19</v>
      </c>
      <c r="L10" s="50">
        <v>18</v>
      </c>
      <c r="M10" s="50">
        <v>18</v>
      </c>
      <c r="N10" s="51">
        <f>AVERAGE(B10:M10)</f>
        <v>19</v>
      </c>
    </row>
    <row r="11" spans="1:15" ht="15" customHeight="1" x14ac:dyDescent="0.3">
      <c r="A11" s="13" t="s">
        <v>143</v>
      </c>
      <c r="B11" s="34">
        <v>18</v>
      </c>
      <c r="C11" s="34">
        <v>19</v>
      </c>
      <c r="D11" s="34">
        <v>19</v>
      </c>
      <c r="E11" s="34">
        <v>20</v>
      </c>
      <c r="F11" s="34">
        <v>20</v>
      </c>
      <c r="G11" s="34">
        <v>20</v>
      </c>
      <c r="H11" s="34">
        <v>21</v>
      </c>
      <c r="I11" s="34">
        <v>21</v>
      </c>
      <c r="J11" s="34">
        <v>20</v>
      </c>
      <c r="K11" s="34">
        <v>19</v>
      </c>
      <c r="L11" s="34">
        <v>18</v>
      </c>
      <c r="M11" s="34">
        <v>19</v>
      </c>
      <c r="N11" s="52">
        <f>AVERAGE(B11:M11)</f>
        <v>19.5</v>
      </c>
    </row>
    <row r="12" spans="1:15" ht="15" customHeight="1" x14ac:dyDescent="0.3">
      <c r="A12" s="40" t="s">
        <v>93</v>
      </c>
      <c r="B12" s="54">
        <v>0</v>
      </c>
      <c r="C12" s="55">
        <v>1</v>
      </c>
      <c r="D12" s="54">
        <v>0</v>
      </c>
      <c r="E12" s="55">
        <v>1</v>
      </c>
      <c r="F12" s="54">
        <v>0</v>
      </c>
      <c r="G12" s="54">
        <v>0</v>
      </c>
      <c r="H12" s="55">
        <v>1</v>
      </c>
      <c r="I12" s="55">
        <v>1</v>
      </c>
      <c r="J12" s="55">
        <v>1</v>
      </c>
      <c r="K12" s="54">
        <v>0</v>
      </c>
      <c r="L12" s="54">
        <v>0</v>
      </c>
      <c r="M12" s="55">
        <v>1</v>
      </c>
      <c r="N12" s="43"/>
      <c r="O12" s="32">
        <v>6</v>
      </c>
    </row>
    <row r="14" spans="1:15" ht="15" customHeight="1" x14ac:dyDescent="0.3">
      <c r="A14" s="4" t="s">
        <v>145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ht="15" customHeight="1" x14ac:dyDescent="0.3">
      <c r="A15" s="19" t="s">
        <v>142</v>
      </c>
      <c r="B15" s="50">
        <v>16</v>
      </c>
      <c r="C15" s="50">
        <v>16</v>
      </c>
      <c r="D15" s="50">
        <v>17</v>
      </c>
      <c r="E15" s="50">
        <v>17</v>
      </c>
      <c r="F15" s="50">
        <v>17</v>
      </c>
      <c r="G15" s="50">
        <v>17</v>
      </c>
      <c r="H15" s="50">
        <v>18</v>
      </c>
      <c r="I15" s="50">
        <v>18</v>
      </c>
      <c r="J15" s="50">
        <v>17</v>
      </c>
      <c r="K15" s="50">
        <v>17</v>
      </c>
      <c r="L15" s="50">
        <v>16</v>
      </c>
      <c r="M15" s="50">
        <v>16</v>
      </c>
      <c r="N15" s="51">
        <f>AVERAGE(B15:M15)</f>
        <v>16.833333333333332</v>
      </c>
    </row>
    <row r="16" spans="1:15" ht="15" customHeight="1" x14ac:dyDescent="0.3">
      <c r="A16" s="13" t="s">
        <v>143</v>
      </c>
      <c r="B16" s="34">
        <v>16</v>
      </c>
      <c r="C16" s="34">
        <v>16</v>
      </c>
      <c r="D16" s="34">
        <v>17</v>
      </c>
      <c r="E16" s="34">
        <v>17</v>
      </c>
      <c r="F16" s="34">
        <v>18</v>
      </c>
      <c r="G16" s="34">
        <v>17</v>
      </c>
      <c r="H16" s="34">
        <v>18</v>
      </c>
      <c r="I16" s="34">
        <v>18</v>
      </c>
      <c r="J16" s="34">
        <v>17</v>
      </c>
      <c r="K16" s="34">
        <v>17</v>
      </c>
      <c r="L16" s="34">
        <v>16</v>
      </c>
      <c r="M16" s="34">
        <v>17</v>
      </c>
      <c r="N16" s="52">
        <f>AVERAGE(B16:M16)</f>
        <v>17</v>
      </c>
    </row>
    <row r="17" spans="1:15" ht="15" customHeight="1" x14ac:dyDescent="0.3">
      <c r="A17" s="40" t="s">
        <v>93</v>
      </c>
      <c r="B17" s="54">
        <v>0</v>
      </c>
      <c r="C17" s="54">
        <v>0</v>
      </c>
      <c r="D17" s="54">
        <v>0</v>
      </c>
      <c r="E17" s="54">
        <v>0</v>
      </c>
      <c r="F17" s="55">
        <v>1</v>
      </c>
      <c r="G17" s="54">
        <v>0</v>
      </c>
      <c r="H17" s="54">
        <v>0</v>
      </c>
      <c r="I17" s="54">
        <v>0</v>
      </c>
      <c r="J17" s="54">
        <v>0</v>
      </c>
      <c r="K17" s="54">
        <v>0</v>
      </c>
      <c r="L17" s="54">
        <v>0</v>
      </c>
      <c r="M17" s="55">
        <v>1</v>
      </c>
      <c r="N17" s="43"/>
      <c r="O17" s="32">
        <v>2</v>
      </c>
    </row>
    <row r="19" spans="1:15" ht="15" customHeight="1" x14ac:dyDescent="0.3">
      <c r="A19" s="4" t="s">
        <v>146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ht="15" customHeight="1" x14ac:dyDescent="0.3">
      <c r="A20" s="19" t="s">
        <v>142</v>
      </c>
      <c r="B20" s="50">
        <v>14</v>
      </c>
      <c r="C20" s="50">
        <v>14</v>
      </c>
      <c r="D20" s="50">
        <v>14</v>
      </c>
      <c r="E20" s="50">
        <v>14</v>
      </c>
      <c r="F20" s="50">
        <v>15</v>
      </c>
      <c r="G20" s="50">
        <v>15</v>
      </c>
      <c r="H20" s="50">
        <v>15</v>
      </c>
      <c r="I20" s="50">
        <v>15</v>
      </c>
      <c r="J20" s="50">
        <v>14</v>
      </c>
      <c r="K20" s="50">
        <v>14</v>
      </c>
      <c r="L20" s="50">
        <v>14</v>
      </c>
      <c r="M20" s="50">
        <v>14</v>
      </c>
      <c r="N20" s="51">
        <f>AVERAGE(B20:M20)</f>
        <v>14.333333333333334</v>
      </c>
    </row>
    <row r="21" spans="1:15" ht="15" customHeight="1" x14ac:dyDescent="0.3">
      <c r="A21" s="13" t="s">
        <v>143</v>
      </c>
      <c r="B21" s="34">
        <v>14</v>
      </c>
      <c r="C21" s="34">
        <v>15</v>
      </c>
      <c r="D21" s="34">
        <v>14</v>
      </c>
      <c r="E21" s="34">
        <v>14</v>
      </c>
      <c r="F21" s="34">
        <v>15</v>
      </c>
      <c r="G21" s="34">
        <v>15</v>
      </c>
      <c r="H21" s="34">
        <v>15</v>
      </c>
      <c r="I21" s="34">
        <v>15</v>
      </c>
      <c r="J21" s="34">
        <v>14</v>
      </c>
      <c r="K21" s="34">
        <v>14</v>
      </c>
      <c r="L21" s="34">
        <v>14</v>
      </c>
      <c r="M21" s="34">
        <v>15</v>
      </c>
      <c r="N21" s="52">
        <f>AVERAGE(B21:M21)</f>
        <v>14.5</v>
      </c>
    </row>
    <row r="22" spans="1:15" ht="15" customHeight="1" x14ac:dyDescent="0.3">
      <c r="A22" s="40" t="s">
        <v>93</v>
      </c>
      <c r="B22" s="54">
        <v>0</v>
      </c>
      <c r="C22" s="55">
        <v>1</v>
      </c>
      <c r="D22" s="54">
        <v>0</v>
      </c>
      <c r="E22" s="54">
        <v>0</v>
      </c>
      <c r="F22" s="54">
        <v>0</v>
      </c>
      <c r="G22" s="54">
        <v>0</v>
      </c>
      <c r="H22" s="54">
        <v>0</v>
      </c>
      <c r="I22" s="54">
        <v>0</v>
      </c>
      <c r="J22" s="54">
        <v>0</v>
      </c>
      <c r="K22" s="54">
        <v>0</v>
      </c>
      <c r="L22" s="54">
        <v>0</v>
      </c>
      <c r="M22" s="55">
        <v>1</v>
      </c>
      <c r="N22" s="43"/>
      <c r="O22" s="32">
        <v>2</v>
      </c>
    </row>
    <row r="24" spans="1:15" ht="15" customHeight="1" x14ac:dyDescent="0.3">
      <c r="A24" s="4" t="s">
        <v>147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ht="15" customHeight="1" x14ac:dyDescent="0.3">
      <c r="A25" s="19" t="s">
        <v>142</v>
      </c>
      <c r="B25" s="50">
        <v>12</v>
      </c>
      <c r="C25" s="50">
        <v>12</v>
      </c>
      <c r="D25" s="50">
        <v>12</v>
      </c>
      <c r="E25" s="50">
        <v>12</v>
      </c>
      <c r="F25" s="50">
        <v>13</v>
      </c>
      <c r="G25" s="50">
        <v>13</v>
      </c>
      <c r="H25" s="50">
        <v>13</v>
      </c>
      <c r="I25" s="50">
        <v>13</v>
      </c>
      <c r="J25" s="50">
        <v>12</v>
      </c>
      <c r="K25" s="50">
        <v>12</v>
      </c>
      <c r="L25" s="50">
        <v>12</v>
      </c>
      <c r="M25" s="50">
        <v>12</v>
      </c>
      <c r="N25" s="51">
        <f>AVERAGE(B25:M25)</f>
        <v>12.333333333333334</v>
      </c>
    </row>
    <row r="26" spans="1:15" ht="15" customHeight="1" x14ac:dyDescent="0.3">
      <c r="A26" s="13" t="s">
        <v>143</v>
      </c>
      <c r="B26" s="34">
        <v>12</v>
      </c>
      <c r="C26" s="34">
        <v>12</v>
      </c>
      <c r="D26" s="34">
        <v>12</v>
      </c>
      <c r="E26" s="34">
        <v>13</v>
      </c>
      <c r="F26" s="34">
        <v>13</v>
      </c>
      <c r="G26" s="34">
        <v>13</v>
      </c>
      <c r="H26" s="34">
        <v>13</v>
      </c>
      <c r="I26" s="34">
        <v>13</v>
      </c>
      <c r="J26" s="34">
        <v>12</v>
      </c>
      <c r="K26" s="34">
        <v>12</v>
      </c>
      <c r="L26" s="34">
        <v>12</v>
      </c>
      <c r="M26" s="34">
        <v>12</v>
      </c>
      <c r="N26" s="52">
        <f>AVERAGE(B26:M26)</f>
        <v>12.416666666666666</v>
      </c>
    </row>
    <row r="27" spans="1:15" ht="15" customHeight="1" x14ac:dyDescent="0.3">
      <c r="A27" s="40" t="s">
        <v>93</v>
      </c>
      <c r="B27" s="54">
        <v>0</v>
      </c>
      <c r="C27" s="54">
        <v>0</v>
      </c>
      <c r="D27" s="54">
        <v>0</v>
      </c>
      <c r="E27" s="55">
        <v>1</v>
      </c>
      <c r="F27" s="54">
        <v>0</v>
      </c>
      <c r="G27" s="54">
        <v>0</v>
      </c>
      <c r="H27" s="54">
        <v>0</v>
      </c>
      <c r="I27" s="54">
        <v>0</v>
      </c>
      <c r="J27" s="54">
        <v>0</v>
      </c>
      <c r="K27" s="54">
        <v>0</v>
      </c>
      <c r="L27" s="54">
        <v>0</v>
      </c>
      <c r="M27" s="54">
        <v>0</v>
      </c>
      <c r="N27" s="43"/>
      <c r="O27" s="32">
        <v>1</v>
      </c>
    </row>
    <row r="29" spans="1:15" ht="15" customHeight="1" x14ac:dyDescent="0.3">
      <c r="A29" s="4" t="s">
        <v>148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ht="15" customHeight="1" x14ac:dyDescent="0.3">
      <c r="A30" s="19" t="s">
        <v>142</v>
      </c>
      <c r="B30" s="50">
        <v>10</v>
      </c>
      <c r="C30" s="50">
        <v>10</v>
      </c>
      <c r="D30" s="50">
        <v>10</v>
      </c>
      <c r="E30" s="50">
        <v>10</v>
      </c>
      <c r="F30" s="50">
        <v>10</v>
      </c>
      <c r="G30" s="50">
        <v>10</v>
      </c>
      <c r="H30" s="50">
        <v>11</v>
      </c>
      <c r="I30" s="50">
        <v>11</v>
      </c>
      <c r="J30" s="50">
        <v>10</v>
      </c>
      <c r="K30" s="50">
        <v>10</v>
      </c>
      <c r="L30" s="50">
        <v>10</v>
      </c>
      <c r="M30" s="50">
        <v>10</v>
      </c>
      <c r="N30" s="51">
        <f>AVERAGE(B30:M30)</f>
        <v>10.166666666666666</v>
      </c>
    </row>
    <row r="31" spans="1:15" ht="15" customHeight="1" x14ac:dyDescent="0.3">
      <c r="A31" s="13" t="s">
        <v>143</v>
      </c>
      <c r="B31" s="34">
        <v>10</v>
      </c>
      <c r="C31" s="34">
        <v>10</v>
      </c>
      <c r="D31" s="34">
        <v>10</v>
      </c>
      <c r="E31" s="34">
        <v>10</v>
      </c>
      <c r="F31" s="34">
        <v>11</v>
      </c>
      <c r="G31" s="34">
        <v>10</v>
      </c>
      <c r="H31" s="34">
        <v>11</v>
      </c>
      <c r="I31" s="34">
        <v>11</v>
      </c>
      <c r="J31" s="34">
        <v>10</v>
      </c>
      <c r="K31" s="34">
        <v>10</v>
      </c>
      <c r="L31" s="34">
        <v>10</v>
      </c>
      <c r="M31" s="34">
        <v>10</v>
      </c>
      <c r="N31" s="52">
        <f>AVERAGE(B31:M31)</f>
        <v>10.25</v>
      </c>
    </row>
    <row r="32" spans="1:15" ht="15" customHeight="1" x14ac:dyDescent="0.3">
      <c r="A32" s="40" t="s">
        <v>93</v>
      </c>
      <c r="B32" s="54">
        <v>0</v>
      </c>
      <c r="C32" s="54">
        <v>0</v>
      </c>
      <c r="D32" s="54">
        <v>0</v>
      </c>
      <c r="E32" s="54">
        <v>0</v>
      </c>
      <c r="F32" s="55">
        <v>1</v>
      </c>
      <c r="G32" s="54">
        <v>0</v>
      </c>
      <c r="H32" s="54">
        <v>0</v>
      </c>
      <c r="I32" s="54">
        <v>0</v>
      </c>
      <c r="J32" s="54">
        <v>0</v>
      </c>
      <c r="K32" s="54">
        <v>0</v>
      </c>
      <c r="L32" s="54">
        <v>0</v>
      </c>
      <c r="M32" s="54">
        <v>0</v>
      </c>
      <c r="N32" s="43"/>
      <c r="O32" s="32">
        <v>1</v>
      </c>
    </row>
  </sheetData>
  <mergeCells count="7">
    <mergeCell ref="A24:O24"/>
    <mergeCell ref="A29:O29"/>
    <mergeCell ref="A1:O1"/>
    <mergeCell ref="A4:O4"/>
    <mergeCell ref="A9:O9"/>
    <mergeCell ref="A14:O14"/>
    <mergeCell ref="A19:O1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8B57"/>
  </sheetPr>
  <dimension ref="A1:O27"/>
  <sheetViews>
    <sheetView showGridLines="0" topLeftCell="A4" zoomScaleNormal="100" workbookViewId="0">
      <selection sqref="A1:O1"/>
    </sheetView>
  </sheetViews>
  <sheetFormatPr defaultColWidth="8.6640625" defaultRowHeight="14.4" x14ac:dyDescent="0.3"/>
  <cols>
    <col min="1" max="1" width="32" customWidth="1"/>
    <col min="2" max="13" width="10" customWidth="1"/>
    <col min="14" max="14" width="9.88671875" customWidth="1"/>
    <col min="15" max="15" width="12.77734375" customWidth="1"/>
  </cols>
  <sheetData>
    <row r="1" spans="1:15" ht="27.75" customHeight="1" x14ac:dyDescent="0.3">
      <c r="A1" s="8" t="s">
        <v>149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15" customHeight="1" x14ac:dyDescent="0.3">
      <c r="A2" s="6" t="s">
        <v>150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15" customHeight="1" x14ac:dyDescent="0.3">
      <c r="A3" s="23" t="s">
        <v>151</v>
      </c>
      <c r="B3" s="18" t="s">
        <v>72</v>
      </c>
      <c r="C3" s="18" t="s">
        <v>73</v>
      </c>
      <c r="D3" s="18" t="s">
        <v>74</v>
      </c>
      <c r="E3" s="18" t="s">
        <v>75</v>
      </c>
      <c r="F3" s="18" t="s">
        <v>76</v>
      </c>
      <c r="G3" s="18" t="s">
        <v>77</v>
      </c>
      <c r="H3" s="18" t="s">
        <v>78</v>
      </c>
      <c r="I3" s="18" t="s">
        <v>79</v>
      </c>
      <c r="J3" s="18" t="s">
        <v>80</v>
      </c>
      <c r="K3" s="18" t="s">
        <v>81</v>
      </c>
      <c r="L3" s="18" t="s">
        <v>82</v>
      </c>
      <c r="M3" s="18" t="s">
        <v>83</v>
      </c>
      <c r="N3" s="23" t="s">
        <v>139</v>
      </c>
      <c r="O3" s="23" t="s">
        <v>152</v>
      </c>
    </row>
    <row r="4" spans="1:15" ht="15" customHeight="1" x14ac:dyDescent="0.3">
      <c r="A4" s="7" t="s">
        <v>153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15" customHeight="1" x14ac:dyDescent="0.3">
      <c r="A5" s="13" t="s">
        <v>154</v>
      </c>
      <c r="B5" s="56">
        <v>0.95</v>
      </c>
      <c r="C5" s="56">
        <v>0.95</v>
      </c>
      <c r="D5" s="56">
        <v>0.95</v>
      </c>
      <c r="E5" s="56">
        <v>0.95</v>
      </c>
      <c r="F5" s="56">
        <v>0.95</v>
      </c>
      <c r="G5" s="56">
        <v>0.95</v>
      </c>
      <c r="H5" s="56">
        <v>0.95</v>
      </c>
      <c r="I5" s="56">
        <v>0.95</v>
      </c>
      <c r="J5" s="56">
        <v>0.95</v>
      </c>
      <c r="K5" s="56">
        <v>0.95</v>
      </c>
      <c r="L5" s="56">
        <v>0.95</v>
      </c>
      <c r="M5" s="56">
        <v>0.95</v>
      </c>
      <c r="N5" s="57">
        <v>0.95</v>
      </c>
    </row>
    <row r="6" spans="1:15" ht="15" customHeight="1" x14ac:dyDescent="0.3">
      <c r="A6" s="13" t="s">
        <v>155</v>
      </c>
      <c r="B6" s="56">
        <v>0.93200000000000005</v>
      </c>
      <c r="C6" s="56">
        <v>0.94799999999999995</v>
      </c>
      <c r="D6" s="56">
        <v>0.95099999999999996</v>
      </c>
      <c r="E6" s="56">
        <v>0.96199999999999997</v>
      </c>
      <c r="F6" s="56">
        <v>0.94899999999999995</v>
      </c>
      <c r="G6" s="56">
        <v>0.93799999999999994</v>
      </c>
      <c r="H6" s="56">
        <v>0.96399999999999997</v>
      </c>
      <c r="I6" s="56">
        <v>0.97099999999999997</v>
      </c>
      <c r="J6" s="56">
        <v>0.95799999999999996</v>
      </c>
      <c r="K6" s="56">
        <v>0.94199999999999995</v>
      </c>
      <c r="L6" s="56">
        <v>0.93600000000000005</v>
      </c>
      <c r="M6" s="56">
        <v>0.95299999999999996</v>
      </c>
      <c r="N6" s="57">
        <v>0.95033333333333403</v>
      </c>
    </row>
    <row r="7" spans="1:15" ht="15" customHeight="1" x14ac:dyDescent="0.3">
      <c r="A7" s="13" t="s">
        <v>156</v>
      </c>
      <c r="B7" s="58">
        <v>-1.8</v>
      </c>
      <c r="C7" s="58">
        <v>-0.20000000000000301</v>
      </c>
      <c r="D7" s="59">
        <v>9.9999999999994302E-2</v>
      </c>
      <c r="E7" s="59">
        <v>1.2</v>
      </c>
      <c r="F7" s="58">
        <v>-9.9999999999994302E-2</v>
      </c>
      <c r="G7" s="58">
        <v>-1.2</v>
      </c>
      <c r="H7" s="59">
        <v>1.4000000000000099</v>
      </c>
      <c r="I7" s="59">
        <v>2.0999999999999899</v>
      </c>
      <c r="J7" s="59">
        <v>0.79999999999999705</v>
      </c>
      <c r="K7" s="58">
        <v>-0.79999999999999705</v>
      </c>
      <c r="L7" s="58">
        <v>-1.4000000000000099</v>
      </c>
      <c r="M7" s="59">
        <v>0.29999999999999699</v>
      </c>
      <c r="N7" s="60">
        <v>3.3333333333332597E-2</v>
      </c>
    </row>
    <row r="9" spans="1:15" ht="15" customHeight="1" x14ac:dyDescent="0.3">
      <c r="A9" s="4" t="s">
        <v>157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ht="15" customHeight="1" x14ac:dyDescent="0.3">
      <c r="A10" s="13" t="s">
        <v>91</v>
      </c>
      <c r="B10" s="61">
        <v>8200</v>
      </c>
      <c r="C10" s="61">
        <v>8200</v>
      </c>
      <c r="D10" s="61">
        <v>8700</v>
      </c>
      <c r="E10" s="61">
        <v>8700</v>
      </c>
      <c r="F10" s="61">
        <v>9100</v>
      </c>
      <c r="G10" s="61">
        <v>9100</v>
      </c>
      <c r="H10" s="61">
        <v>9300</v>
      </c>
      <c r="I10" s="61">
        <v>9300</v>
      </c>
      <c r="J10" s="61">
        <v>8800</v>
      </c>
      <c r="K10" s="61">
        <v>8800</v>
      </c>
      <c r="L10" s="61">
        <v>8400</v>
      </c>
      <c r="M10" s="61">
        <v>8400</v>
      </c>
      <c r="N10" s="60">
        <v>8750</v>
      </c>
    </row>
    <row r="11" spans="1:15" ht="15" customHeight="1" x14ac:dyDescent="0.3">
      <c r="A11" s="13" t="s">
        <v>92</v>
      </c>
      <c r="B11" s="61">
        <v>8050</v>
      </c>
      <c r="C11" s="61">
        <v>8310</v>
      </c>
      <c r="D11" s="61">
        <v>8640</v>
      </c>
      <c r="E11" s="61">
        <v>8890</v>
      </c>
      <c r="F11" s="61">
        <v>9210</v>
      </c>
      <c r="G11" s="61">
        <v>9050</v>
      </c>
      <c r="H11" s="61">
        <v>9480</v>
      </c>
      <c r="I11" s="61">
        <v>9620</v>
      </c>
      <c r="J11" s="61">
        <v>8710</v>
      </c>
      <c r="K11" s="61">
        <v>8650</v>
      </c>
      <c r="L11" s="61">
        <v>8280</v>
      </c>
      <c r="M11" s="61">
        <v>8490</v>
      </c>
      <c r="N11" s="60">
        <v>8781.6666666666697</v>
      </c>
    </row>
    <row r="12" spans="1:15" ht="15" customHeight="1" x14ac:dyDescent="0.3">
      <c r="A12" s="13" t="s">
        <v>93</v>
      </c>
      <c r="B12" s="35">
        <v>-150</v>
      </c>
      <c r="C12" s="34">
        <v>110</v>
      </c>
      <c r="D12" s="35">
        <v>-60</v>
      </c>
      <c r="E12" s="34">
        <v>190</v>
      </c>
      <c r="F12" s="34">
        <v>110</v>
      </c>
      <c r="G12" s="35">
        <v>-50</v>
      </c>
      <c r="H12" s="34">
        <v>180</v>
      </c>
      <c r="I12" s="34">
        <v>320</v>
      </c>
      <c r="J12" s="35">
        <v>-90</v>
      </c>
      <c r="K12" s="35">
        <v>-150</v>
      </c>
      <c r="L12" s="35">
        <v>-120</v>
      </c>
      <c r="M12" s="34">
        <v>90</v>
      </c>
      <c r="N12" s="60">
        <v>31.6666666666667</v>
      </c>
    </row>
    <row r="14" spans="1:15" ht="15" customHeight="1" x14ac:dyDescent="0.3">
      <c r="A14" s="7" t="s">
        <v>158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ht="15" customHeight="1" x14ac:dyDescent="0.3">
      <c r="A15" s="13" t="s">
        <v>154</v>
      </c>
      <c r="B15" s="56">
        <v>0.88</v>
      </c>
      <c r="C15" s="56">
        <v>0.88</v>
      </c>
      <c r="D15" s="56">
        <v>0.88</v>
      </c>
      <c r="E15" s="56">
        <v>0.88</v>
      </c>
      <c r="F15" s="56">
        <v>0.88</v>
      </c>
      <c r="G15" s="56">
        <v>0.88</v>
      </c>
      <c r="H15" s="56">
        <v>0.88</v>
      </c>
      <c r="I15" s="56">
        <v>0.88</v>
      </c>
      <c r="J15" s="56">
        <v>0.88</v>
      </c>
      <c r="K15" s="56">
        <v>0.88</v>
      </c>
      <c r="L15" s="56">
        <v>0.88</v>
      </c>
      <c r="M15" s="56">
        <v>0.88</v>
      </c>
      <c r="N15" s="57">
        <v>0.88</v>
      </c>
    </row>
    <row r="16" spans="1:15" ht="15" customHeight="1" x14ac:dyDescent="0.3">
      <c r="A16" s="13" t="s">
        <v>155</v>
      </c>
      <c r="B16" s="56">
        <v>0.85199999999999998</v>
      </c>
      <c r="C16" s="56">
        <v>0.874</v>
      </c>
      <c r="D16" s="56">
        <v>0.88900000000000001</v>
      </c>
      <c r="E16" s="56">
        <v>0.90100000000000002</v>
      </c>
      <c r="F16" s="56">
        <v>0.876</v>
      </c>
      <c r="G16" s="56">
        <v>0.86299999999999999</v>
      </c>
      <c r="H16" s="56">
        <v>0.91200000000000003</v>
      </c>
      <c r="I16" s="56">
        <v>0.92400000000000004</v>
      </c>
      <c r="J16" s="56">
        <v>0.89100000000000001</v>
      </c>
      <c r="K16" s="56">
        <v>0.878</v>
      </c>
      <c r="L16" s="56">
        <v>0.85899999999999999</v>
      </c>
      <c r="M16" s="56">
        <v>0.88600000000000001</v>
      </c>
      <c r="N16" s="57">
        <v>0.88375000000000004</v>
      </c>
    </row>
    <row r="17" spans="1:15" ht="15" customHeight="1" x14ac:dyDescent="0.3">
      <c r="A17" s="13" t="s">
        <v>156</v>
      </c>
      <c r="B17" s="58">
        <v>-2.8</v>
      </c>
      <c r="C17" s="58">
        <v>-0.59999999999999398</v>
      </c>
      <c r="D17" s="59">
        <v>0.90000000000000602</v>
      </c>
      <c r="E17" s="59">
        <v>2.0999999999999899</v>
      </c>
      <c r="F17" s="58">
        <v>-0.40000000000000602</v>
      </c>
      <c r="G17" s="58">
        <v>-1.7</v>
      </c>
      <c r="H17" s="59">
        <v>3.2</v>
      </c>
      <c r="I17" s="59">
        <v>4.4000000000000101</v>
      </c>
      <c r="J17" s="59">
        <v>1.0999999999999901</v>
      </c>
      <c r="K17" s="58">
        <v>-0.20000000000000301</v>
      </c>
      <c r="L17" s="58">
        <v>-2.0999999999999899</v>
      </c>
      <c r="M17" s="59">
        <v>0.59999999999999398</v>
      </c>
      <c r="N17" s="60">
        <v>0.375</v>
      </c>
    </row>
    <row r="19" spans="1:15" ht="15" customHeight="1" x14ac:dyDescent="0.3">
      <c r="A19" s="4" t="s">
        <v>159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ht="15" customHeight="1" x14ac:dyDescent="0.3">
      <c r="A20" s="13" t="s">
        <v>160</v>
      </c>
      <c r="B20" s="61">
        <v>142</v>
      </c>
      <c r="C20" s="61">
        <v>142</v>
      </c>
      <c r="D20" s="61">
        <v>150</v>
      </c>
      <c r="E20" s="61">
        <v>150</v>
      </c>
      <c r="F20" s="61">
        <v>158</v>
      </c>
      <c r="G20" s="61">
        <v>158</v>
      </c>
      <c r="H20" s="61">
        <v>162</v>
      </c>
      <c r="I20" s="61">
        <v>162</v>
      </c>
      <c r="J20" s="61">
        <v>153</v>
      </c>
      <c r="K20" s="61">
        <v>153</v>
      </c>
      <c r="L20" s="61">
        <v>145</v>
      </c>
      <c r="M20" s="61">
        <v>145</v>
      </c>
      <c r="N20" s="60">
        <v>151.666666666667</v>
      </c>
    </row>
    <row r="21" spans="1:15" ht="15" customHeight="1" x14ac:dyDescent="0.3">
      <c r="A21" s="13" t="s">
        <v>161</v>
      </c>
      <c r="B21" s="61">
        <v>148</v>
      </c>
      <c r="C21" s="61">
        <v>139</v>
      </c>
      <c r="D21" s="61">
        <v>153</v>
      </c>
      <c r="E21" s="61">
        <v>147</v>
      </c>
      <c r="F21" s="61">
        <v>162</v>
      </c>
      <c r="G21" s="61">
        <v>155</v>
      </c>
      <c r="H21" s="61">
        <v>168</v>
      </c>
      <c r="I21" s="61">
        <v>159</v>
      </c>
      <c r="J21" s="61">
        <v>155</v>
      </c>
      <c r="K21" s="61">
        <v>149</v>
      </c>
      <c r="L21" s="61">
        <v>141</v>
      </c>
      <c r="M21" s="61">
        <v>148</v>
      </c>
      <c r="N21" s="60">
        <v>152</v>
      </c>
    </row>
    <row r="22" spans="1:15" ht="15" customHeight="1" x14ac:dyDescent="0.3">
      <c r="A22" s="13" t="s">
        <v>119</v>
      </c>
      <c r="B22" s="34">
        <v>6</v>
      </c>
      <c r="C22" s="35">
        <v>-3</v>
      </c>
      <c r="D22" s="34">
        <v>3</v>
      </c>
      <c r="E22" s="35">
        <v>-3</v>
      </c>
      <c r="F22" s="34">
        <v>4</v>
      </c>
      <c r="G22" s="35">
        <v>-3</v>
      </c>
      <c r="H22" s="34">
        <v>6</v>
      </c>
      <c r="I22" s="35">
        <v>-3</v>
      </c>
      <c r="J22" s="34">
        <v>2</v>
      </c>
      <c r="K22" s="35">
        <v>-4</v>
      </c>
      <c r="L22" s="35">
        <v>-4</v>
      </c>
      <c r="M22" s="34">
        <v>3</v>
      </c>
      <c r="N22" s="60">
        <v>0.33333333333333298</v>
      </c>
    </row>
    <row r="24" spans="1:15" ht="15" customHeight="1" x14ac:dyDescent="0.3">
      <c r="A24" s="7" t="s">
        <v>162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" customHeight="1" x14ac:dyDescent="0.3">
      <c r="A25" s="13" t="s">
        <v>163</v>
      </c>
      <c r="B25" s="62">
        <v>109.39</v>
      </c>
      <c r="C25" s="62">
        <v>109.39</v>
      </c>
      <c r="D25" s="62">
        <v>109.2</v>
      </c>
      <c r="E25" s="62">
        <v>109.2</v>
      </c>
      <c r="F25" s="62">
        <v>110.22</v>
      </c>
      <c r="G25" s="62">
        <v>110.22</v>
      </c>
      <c r="H25" s="62">
        <v>110.32</v>
      </c>
      <c r="I25" s="62">
        <v>110.32</v>
      </c>
      <c r="J25" s="62">
        <v>110.57</v>
      </c>
      <c r="K25" s="62">
        <v>110.57</v>
      </c>
      <c r="L25" s="62">
        <v>109.52</v>
      </c>
      <c r="M25" s="62">
        <v>109.52</v>
      </c>
      <c r="N25" s="60">
        <v>109.87</v>
      </c>
    </row>
    <row r="26" spans="1:15" ht="15" customHeight="1" x14ac:dyDescent="0.3">
      <c r="A26" s="13" t="s">
        <v>164</v>
      </c>
      <c r="B26" s="62">
        <v>113.29</v>
      </c>
      <c r="C26" s="62">
        <v>106.5</v>
      </c>
      <c r="D26" s="62">
        <v>111.23</v>
      </c>
      <c r="E26" s="62">
        <v>105.62</v>
      </c>
      <c r="F26" s="62">
        <v>110.64</v>
      </c>
      <c r="G26" s="62">
        <v>109.17</v>
      </c>
      <c r="H26" s="62">
        <v>109.92</v>
      </c>
      <c r="I26" s="62">
        <v>106.76</v>
      </c>
      <c r="J26" s="62">
        <v>112.28</v>
      </c>
      <c r="K26" s="62">
        <v>110.17</v>
      </c>
      <c r="L26" s="62">
        <v>110.39</v>
      </c>
      <c r="M26" s="62">
        <v>108.6</v>
      </c>
      <c r="N26" s="60">
        <v>109.5475</v>
      </c>
    </row>
    <row r="27" spans="1:15" ht="15" customHeight="1" x14ac:dyDescent="0.3">
      <c r="A27" s="13" t="s">
        <v>93</v>
      </c>
      <c r="B27" s="59">
        <v>3.9</v>
      </c>
      <c r="C27" s="58">
        <v>-2.89</v>
      </c>
      <c r="D27" s="59">
        <v>2.0299999999999998</v>
      </c>
      <c r="E27" s="58">
        <v>-3.57</v>
      </c>
      <c r="F27" s="59">
        <v>0.42</v>
      </c>
      <c r="G27" s="58">
        <v>-1.05</v>
      </c>
      <c r="H27" s="58">
        <v>-0.41</v>
      </c>
      <c r="I27" s="58">
        <v>-3.57</v>
      </c>
      <c r="J27" s="59">
        <v>1.72</v>
      </c>
      <c r="K27" s="58">
        <v>-0.39</v>
      </c>
      <c r="L27" s="59">
        <v>0.86</v>
      </c>
      <c r="M27" s="58">
        <v>-0.93</v>
      </c>
      <c r="N27" s="60">
        <v>-0.32333333333333297</v>
      </c>
    </row>
  </sheetData>
  <mergeCells count="7">
    <mergeCell ref="A19:O19"/>
    <mergeCell ref="A24:O24"/>
    <mergeCell ref="A1:O1"/>
    <mergeCell ref="A2:O2"/>
    <mergeCell ref="A4:O4"/>
    <mergeCell ref="A9:O9"/>
    <mergeCell ref="A14:O1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G15"/>
  <sheetViews>
    <sheetView showGridLines="0" tabSelected="1" zoomScaleNormal="100" workbookViewId="0">
      <selection sqref="A1:G1"/>
    </sheetView>
  </sheetViews>
  <sheetFormatPr defaultColWidth="8.6640625" defaultRowHeight="14.4" x14ac:dyDescent="0.3"/>
  <cols>
    <col min="1" max="1" width="32" customWidth="1"/>
    <col min="2" max="7" width="16" customWidth="1"/>
  </cols>
  <sheetData>
    <row r="1" spans="1:7" ht="27.75" customHeight="1" x14ac:dyDescent="0.3">
      <c r="A1" s="8" t="s">
        <v>165</v>
      </c>
      <c r="B1" s="8"/>
      <c r="C1" s="8"/>
      <c r="D1" s="8"/>
      <c r="E1" s="8"/>
      <c r="F1" s="8"/>
      <c r="G1" s="8"/>
    </row>
    <row r="2" spans="1:7" ht="15" customHeight="1" x14ac:dyDescent="0.3">
      <c r="A2" s="6" t="s">
        <v>166</v>
      </c>
      <c r="B2" s="6"/>
      <c r="C2" s="6"/>
      <c r="D2" s="6"/>
      <c r="E2" s="6"/>
      <c r="F2" s="6"/>
      <c r="G2" s="6"/>
    </row>
    <row r="3" spans="1:7" ht="19.5" customHeight="1" x14ac:dyDescent="0.3">
      <c r="A3" s="18" t="s">
        <v>116</v>
      </c>
      <c r="B3" s="18" t="s">
        <v>84</v>
      </c>
      <c r="C3" s="18" t="s">
        <v>167</v>
      </c>
      <c r="D3" s="18" t="s">
        <v>168</v>
      </c>
      <c r="E3" s="18" t="s">
        <v>169</v>
      </c>
      <c r="F3" s="18" t="s">
        <v>86</v>
      </c>
      <c r="G3" s="18" t="s">
        <v>120</v>
      </c>
    </row>
    <row r="4" spans="1:7" ht="15" customHeight="1" x14ac:dyDescent="0.3">
      <c r="A4" s="7" t="s">
        <v>170</v>
      </c>
      <c r="B4" s="7"/>
      <c r="C4" s="7"/>
      <c r="D4" s="7"/>
      <c r="E4" s="7"/>
      <c r="F4" s="7"/>
      <c r="G4" s="7"/>
    </row>
    <row r="5" spans="1:7" ht="15" customHeight="1" x14ac:dyDescent="0.3">
      <c r="A5" s="13" t="s">
        <v>95</v>
      </c>
      <c r="B5" s="33">
        <v>15180</v>
      </c>
      <c r="C5" s="34">
        <v>7524</v>
      </c>
      <c r="D5" s="63">
        <v>7689</v>
      </c>
      <c r="E5" s="34">
        <v>15213</v>
      </c>
      <c r="F5" s="34">
        <v>33</v>
      </c>
      <c r="G5" s="44">
        <v>2.17391304347826E-3</v>
      </c>
    </row>
    <row r="6" spans="1:7" ht="15" customHeight="1" x14ac:dyDescent="0.3">
      <c r="A6" s="13" t="s">
        <v>101</v>
      </c>
      <c r="B6" s="33">
        <v>9108</v>
      </c>
      <c r="C6" s="34">
        <v>4501</v>
      </c>
      <c r="D6" s="63">
        <v>4610</v>
      </c>
      <c r="E6" s="34">
        <v>9111</v>
      </c>
      <c r="F6" s="34">
        <v>3</v>
      </c>
      <c r="G6" s="44">
        <v>3.2938076416337298E-4</v>
      </c>
    </row>
    <row r="7" spans="1:7" ht="15" customHeight="1" x14ac:dyDescent="0.3">
      <c r="A7" s="12" t="s">
        <v>103</v>
      </c>
      <c r="B7" s="29">
        <v>6072</v>
      </c>
      <c r="C7" s="30">
        <v>3023</v>
      </c>
      <c r="D7" s="64">
        <v>3079</v>
      </c>
      <c r="E7" s="30">
        <v>6102</v>
      </c>
      <c r="F7" s="30">
        <v>30</v>
      </c>
      <c r="G7" s="65">
        <v>4.9407114624505904E-3</v>
      </c>
    </row>
    <row r="8" spans="1:7" ht="15" customHeight="1" x14ac:dyDescent="0.3">
      <c r="A8" s="13" t="s">
        <v>109</v>
      </c>
      <c r="B8" s="33">
        <v>2430</v>
      </c>
      <c r="C8" s="34">
        <v>1203</v>
      </c>
      <c r="D8" s="63">
        <v>1226</v>
      </c>
      <c r="E8" s="34">
        <v>2429</v>
      </c>
      <c r="F8" s="35">
        <v>-1</v>
      </c>
      <c r="G8" s="47">
        <v>-4.1152263374485601E-4</v>
      </c>
    </row>
    <row r="9" spans="1:7" ht="15" customHeight="1" x14ac:dyDescent="0.3">
      <c r="A9" s="12" t="s">
        <v>110</v>
      </c>
      <c r="B9" s="29">
        <v>3642</v>
      </c>
      <c r="C9" s="30">
        <v>1820</v>
      </c>
      <c r="D9" s="64">
        <v>1853</v>
      </c>
      <c r="E9" s="30">
        <v>3673</v>
      </c>
      <c r="F9" s="30">
        <v>31</v>
      </c>
      <c r="G9" s="65">
        <v>8.5118066996156001E-3</v>
      </c>
    </row>
    <row r="11" spans="1:7" ht="15" customHeight="1" x14ac:dyDescent="0.3">
      <c r="A11" s="4" t="s">
        <v>171</v>
      </c>
      <c r="B11" s="4"/>
      <c r="C11" s="4"/>
      <c r="D11" s="4"/>
      <c r="E11" s="4"/>
      <c r="F11" s="4"/>
      <c r="G11" s="4"/>
    </row>
    <row r="12" spans="1:7" ht="30" customHeight="1" x14ac:dyDescent="0.3">
      <c r="A12" s="2" t="s">
        <v>172</v>
      </c>
      <c r="B12" s="2"/>
      <c r="C12" s="2"/>
      <c r="D12" s="2"/>
      <c r="E12" s="2"/>
      <c r="F12" s="2"/>
      <c r="G12" s="2"/>
    </row>
    <row r="13" spans="1:7" ht="30" customHeight="1" x14ac:dyDescent="0.3">
      <c r="A13" s="2" t="s">
        <v>173</v>
      </c>
      <c r="B13" s="2"/>
      <c r="C13" s="2"/>
      <c r="D13" s="2"/>
      <c r="E13" s="2"/>
      <c r="F13" s="2"/>
      <c r="G13" s="2"/>
    </row>
    <row r="14" spans="1:7" ht="30" customHeight="1" x14ac:dyDescent="0.3">
      <c r="A14" s="2" t="s">
        <v>174</v>
      </c>
      <c r="B14" s="2"/>
      <c r="C14" s="2"/>
      <c r="D14" s="2"/>
      <c r="E14" s="2"/>
      <c r="F14" s="2"/>
      <c r="G14" s="2"/>
    </row>
    <row r="15" spans="1:7" ht="30" customHeight="1" x14ac:dyDescent="0.3">
      <c r="A15" s="2" t="s">
        <v>175</v>
      </c>
      <c r="B15" s="2"/>
      <c r="C15" s="2"/>
      <c r="D15" s="2"/>
      <c r="E15" s="2"/>
      <c r="F15" s="2"/>
      <c r="G15" s="2"/>
    </row>
  </sheetData>
  <mergeCells count="8">
    <mergeCell ref="A13:G13"/>
    <mergeCell ref="A14:G14"/>
    <mergeCell ref="A15:G15"/>
    <mergeCell ref="A1:G1"/>
    <mergeCell ref="A2:G2"/>
    <mergeCell ref="A4:G4"/>
    <mergeCell ref="A11:G11"/>
    <mergeCell ref="A12:G1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95959"/>
  </sheetPr>
  <dimension ref="A1:Q14"/>
  <sheetViews>
    <sheetView showGridLines="0" zoomScaleNormal="100" workbookViewId="0"/>
  </sheetViews>
  <sheetFormatPr defaultColWidth="8.6640625" defaultRowHeight="14.4" x14ac:dyDescent="0.3"/>
  <cols>
    <col min="1" max="2" width="12" customWidth="1"/>
    <col min="3" max="17" width="16" customWidth="1"/>
  </cols>
  <sheetData>
    <row r="1" spans="1:17" x14ac:dyDescent="0.3">
      <c r="A1" s="1" t="s">
        <v>176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7" x14ac:dyDescent="0.3">
      <c r="A2" s="66" t="s">
        <v>177</v>
      </c>
      <c r="B2" s="66" t="s">
        <v>178</v>
      </c>
      <c r="C2" s="66" t="s">
        <v>179</v>
      </c>
      <c r="D2" s="66" t="s">
        <v>180</v>
      </c>
      <c r="E2" s="66" t="s">
        <v>181</v>
      </c>
      <c r="F2" s="66" t="s">
        <v>182</v>
      </c>
      <c r="G2" s="66" t="s">
        <v>183</v>
      </c>
      <c r="H2" s="66" t="s">
        <v>184</v>
      </c>
      <c r="I2" s="66" t="s">
        <v>185</v>
      </c>
      <c r="J2" s="66" t="s">
        <v>186</v>
      </c>
      <c r="K2" s="66" t="s">
        <v>187</v>
      </c>
      <c r="L2" s="66" t="s">
        <v>188</v>
      </c>
      <c r="M2" s="66" t="s">
        <v>189</v>
      </c>
      <c r="N2" s="66" t="s">
        <v>190</v>
      </c>
      <c r="O2" s="66" t="s">
        <v>191</v>
      </c>
      <c r="P2" s="66" t="s">
        <v>192</v>
      </c>
      <c r="Q2" s="66" t="s">
        <v>193</v>
      </c>
    </row>
    <row r="3" spans="1:17" x14ac:dyDescent="0.3">
      <c r="A3" s="67" t="s">
        <v>72</v>
      </c>
      <c r="B3" s="68">
        <v>1</v>
      </c>
      <c r="C3" s="69">
        <v>1180</v>
      </c>
      <c r="D3" s="69">
        <v>1165</v>
      </c>
      <c r="E3" s="69">
        <v>-15</v>
      </c>
      <c r="F3" s="69">
        <v>708</v>
      </c>
      <c r="G3" s="69">
        <v>721</v>
      </c>
      <c r="H3" s="69">
        <v>472</v>
      </c>
      <c r="I3" s="69">
        <v>444</v>
      </c>
      <c r="J3" s="69">
        <v>189</v>
      </c>
      <c r="K3" s="69">
        <v>191</v>
      </c>
      <c r="L3" s="69">
        <v>283</v>
      </c>
      <c r="M3" s="69">
        <v>253</v>
      </c>
      <c r="N3" s="69">
        <v>-30</v>
      </c>
      <c r="O3" s="70">
        <v>-1.2699999999999999E-2</v>
      </c>
      <c r="P3" s="70">
        <v>0.23980000000000001</v>
      </c>
      <c r="Q3" s="70">
        <v>0.2172</v>
      </c>
    </row>
    <row r="4" spans="1:17" x14ac:dyDescent="0.3">
      <c r="A4" s="67" t="s">
        <v>73</v>
      </c>
      <c r="B4" s="68">
        <v>2</v>
      </c>
      <c r="C4" s="69">
        <v>1180</v>
      </c>
      <c r="D4" s="69">
        <v>1198</v>
      </c>
      <c r="E4" s="69">
        <v>18</v>
      </c>
      <c r="F4" s="69">
        <v>708</v>
      </c>
      <c r="G4" s="69">
        <v>698</v>
      </c>
      <c r="H4" s="69">
        <v>472</v>
      </c>
      <c r="I4" s="69">
        <v>500</v>
      </c>
      <c r="J4" s="69">
        <v>189</v>
      </c>
      <c r="K4" s="69">
        <v>187</v>
      </c>
      <c r="L4" s="69">
        <v>283</v>
      </c>
      <c r="M4" s="69">
        <v>313</v>
      </c>
      <c r="N4" s="69">
        <v>30</v>
      </c>
      <c r="O4" s="70">
        <v>1.5299999999999999E-2</v>
      </c>
      <c r="P4" s="70">
        <v>0.23980000000000001</v>
      </c>
      <c r="Q4" s="70">
        <v>0.26129999999999998</v>
      </c>
    </row>
    <row r="5" spans="1:17" x14ac:dyDescent="0.3">
      <c r="A5" s="67" t="s">
        <v>74</v>
      </c>
      <c r="B5" s="68">
        <v>3</v>
      </c>
      <c r="C5" s="69">
        <v>1250</v>
      </c>
      <c r="D5" s="69">
        <v>1241</v>
      </c>
      <c r="E5" s="69">
        <v>-9</v>
      </c>
      <c r="F5" s="69">
        <v>750</v>
      </c>
      <c r="G5" s="69">
        <v>758</v>
      </c>
      <c r="H5" s="69">
        <v>500</v>
      </c>
      <c r="I5" s="69">
        <v>483</v>
      </c>
      <c r="J5" s="69">
        <v>200</v>
      </c>
      <c r="K5" s="69">
        <v>203</v>
      </c>
      <c r="L5" s="69">
        <v>300</v>
      </c>
      <c r="M5" s="69">
        <v>280</v>
      </c>
      <c r="N5" s="69">
        <v>-20</v>
      </c>
      <c r="O5" s="70">
        <v>-7.1999999999999998E-3</v>
      </c>
      <c r="P5" s="70">
        <v>0.24</v>
      </c>
      <c r="Q5" s="70">
        <v>0.22559999999999999</v>
      </c>
    </row>
    <row r="6" spans="1:17" x14ac:dyDescent="0.3">
      <c r="A6" s="67" t="s">
        <v>75</v>
      </c>
      <c r="B6" s="68">
        <v>4</v>
      </c>
      <c r="C6" s="69">
        <v>1250</v>
      </c>
      <c r="D6" s="69">
        <v>1287</v>
      </c>
      <c r="E6" s="69">
        <v>37</v>
      </c>
      <c r="F6" s="69">
        <v>750</v>
      </c>
      <c r="G6" s="69">
        <v>741</v>
      </c>
      <c r="H6" s="69">
        <v>500</v>
      </c>
      <c r="I6" s="69">
        <v>546</v>
      </c>
      <c r="J6" s="69">
        <v>200</v>
      </c>
      <c r="K6" s="69">
        <v>198</v>
      </c>
      <c r="L6" s="69">
        <v>300</v>
      </c>
      <c r="M6" s="69">
        <v>348</v>
      </c>
      <c r="N6" s="69">
        <v>48</v>
      </c>
      <c r="O6" s="70">
        <v>2.9600000000000001E-2</v>
      </c>
      <c r="P6" s="70">
        <v>0.24</v>
      </c>
      <c r="Q6" s="70">
        <v>0.27039999999999997</v>
      </c>
    </row>
    <row r="7" spans="1:17" x14ac:dyDescent="0.3">
      <c r="A7" s="67" t="s">
        <v>76</v>
      </c>
      <c r="B7" s="68">
        <v>5</v>
      </c>
      <c r="C7" s="69">
        <v>1320</v>
      </c>
      <c r="D7" s="69">
        <v>1335</v>
      </c>
      <c r="E7" s="69">
        <v>15</v>
      </c>
      <c r="F7" s="69">
        <v>792</v>
      </c>
      <c r="G7" s="69">
        <v>804</v>
      </c>
      <c r="H7" s="69">
        <v>528</v>
      </c>
      <c r="I7" s="69">
        <v>531</v>
      </c>
      <c r="J7" s="69">
        <v>211</v>
      </c>
      <c r="K7" s="69">
        <v>215</v>
      </c>
      <c r="L7" s="69">
        <v>317</v>
      </c>
      <c r="M7" s="69">
        <v>316</v>
      </c>
      <c r="N7" s="69">
        <v>-1</v>
      </c>
      <c r="O7" s="70">
        <v>1.14E-2</v>
      </c>
      <c r="P7" s="70">
        <v>0.2402</v>
      </c>
      <c r="Q7" s="70">
        <v>0.23669999999999999</v>
      </c>
    </row>
    <row r="8" spans="1:17" x14ac:dyDescent="0.3">
      <c r="A8" s="67" t="s">
        <v>77</v>
      </c>
      <c r="B8" s="68">
        <v>6</v>
      </c>
      <c r="C8" s="69">
        <v>1320</v>
      </c>
      <c r="D8" s="69">
        <v>1298</v>
      </c>
      <c r="E8" s="69">
        <v>-22</v>
      </c>
      <c r="F8" s="69">
        <v>792</v>
      </c>
      <c r="G8" s="69">
        <v>779</v>
      </c>
      <c r="H8" s="69">
        <v>528</v>
      </c>
      <c r="I8" s="69">
        <v>519</v>
      </c>
      <c r="J8" s="69">
        <v>211</v>
      </c>
      <c r="K8" s="69">
        <v>209</v>
      </c>
      <c r="L8" s="69">
        <v>317</v>
      </c>
      <c r="M8" s="69">
        <v>310</v>
      </c>
      <c r="N8" s="69">
        <v>-7</v>
      </c>
      <c r="O8" s="70">
        <v>-1.67E-2</v>
      </c>
      <c r="P8" s="70">
        <v>0.2402</v>
      </c>
      <c r="Q8" s="70">
        <v>0.23880000000000001</v>
      </c>
    </row>
    <row r="9" spans="1:17" x14ac:dyDescent="0.3">
      <c r="A9" s="67" t="s">
        <v>78</v>
      </c>
      <c r="B9" s="68">
        <v>7</v>
      </c>
      <c r="C9" s="69">
        <v>1350</v>
      </c>
      <c r="D9" s="69">
        <v>1372</v>
      </c>
      <c r="E9" s="69">
        <v>22</v>
      </c>
      <c r="F9" s="69">
        <v>810</v>
      </c>
      <c r="G9" s="69">
        <v>823</v>
      </c>
      <c r="H9" s="69">
        <v>540</v>
      </c>
      <c r="I9" s="69">
        <v>549</v>
      </c>
      <c r="J9" s="69">
        <v>216</v>
      </c>
      <c r="K9" s="69">
        <v>219</v>
      </c>
      <c r="L9" s="69">
        <v>324</v>
      </c>
      <c r="M9" s="69">
        <v>330</v>
      </c>
      <c r="N9" s="69">
        <v>6</v>
      </c>
      <c r="O9" s="70">
        <v>1.6299999999999999E-2</v>
      </c>
      <c r="P9" s="70">
        <v>0.24</v>
      </c>
      <c r="Q9" s="70">
        <v>0.24049999999999999</v>
      </c>
    </row>
    <row r="10" spans="1:17" x14ac:dyDescent="0.3">
      <c r="A10" s="67" t="s">
        <v>79</v>
      </c>
      <c r="B10" s="68">
        <v>8</v>
      </c>
      <c r="C10" s="69">
        <v>1350</v>
      </c>
      <c r="D10" s="69">
        <v>1389</v>
      </c>
      <c r="E10" s="69">
        <v>39</v>
      </c>
      <c r="F10" s="69">
        <v>810</v>
      </c>
      <c r="G10" s="69">
        <v>815</v>
      </c>
      <c r="H10" s="69">
        <v>540</v>
      </c>
      <c r="I10" s="69">
        <v>574</v>
      </c>
      <c r="J10" s="69">
        <v>216</v>
      </c>
      <c r="K10" s="69">
        <v>212</v>
      </c>
      <c r="L10" s="69">
        <v>324</v>
      </c>
      <c r="M10" s="69">
        <v>362</v>
      </c>
      <c r="N10" s="69">
        <v>38</v>
      </c>
      <c r="O10" s="70">
        <v>2.8899999999999999E-2</v>
      </c>
      <c r="P10" s="70">
        <v>0.24</v>
      </c>
      <c r="Q10" s="70">
        <v>0.2606</v>
      </c>
    </row>
    <row r="11" spans="1:17" x14ac:dyDescent="0.3">
      <c r="A11" s="67" t="s">
        <v>80</v>
      </c>
      <c r="B11" s="68">
        <v>9</v>
      </c>
      <c r="C11" s="69">
        <v>1280</v>
      </c>
      <c r="D11" s="69">
        <v>1261</v>
      </c>
      <c r="E11" s="69">
        <v>-19</v>
      </c>
      <c r="F11" s="69">
        <v>768</v>
      </c>
      <c r="G11" s="69">
        <v>771</v>
      </c>
      <c r="H11" s="69">
        <v>512</v>
      </c>
      <c r="I11" s="69">
        <v>490</v>
      </c>
      <c r="J11" s="69">
        <v>205</v>
      </c>
      <c r="K11" s="69">
        <v>207</v>
      </c>
      <c r="L11" s="69">
        <v>307</v>
      </c>
      <c r="M11" s="69">
        <v>283</v>
      </c>
      <c r="N11" s="69">
        <v>-24</v>
      </c>
      <c r="O11" s="70">
        <v>-1.4800000000000001E-2</v>
      </c>
      <c r="P11" s="70">
        <v>0.23980000000000001</v>
      </c>
      <c r="Q11" s="70">
        <v>0.22439999999999999</v>
      </c>
    </row>
    <row r="12" spans="1:17" x14ac:dyDescent="0.3">
      <c r="A12" s="67" t="s">
        <v>81</v>
      </c>
      <c r="B12" s="68">
        <v>10</v>
      </c>
      <c r="C12" s="69">
        <v>1280</v>
      </c>
      <c r="D12" s="69">
        <v>1244</v>
      </c>
      <c r="E12" s="69">
        <v>-36</v>
      </c>
      <c r="F12" s="69">
        <v>768</v>
      </c>
      <c r="G12" s="69">
        <v>752</v>
      </c>
      <c r="H12" s="69">
        <v>512</v>
      </c>
      <c r="I12" s="69">
        <v>492</v>
      </c>
      <c r="J12" s="69">
        <v>205</v>
      </c>
      <c r="K12" s="69">
        <v>201</v>
      </c>
      <c r="L12" s="69">
        <v>307</v>
      </c>
      <c r="M12" s="69">
        <v>291</v>
      </c>
      <c r="N12" s="69">
        <v>-16</v>
      </c>
      <c r="O12" s="70">
        <v>-2.81E-2</v>
      </c>
      <c r="P12" s="70">
        <v>0.23980000000000001</v>
      </c>
      <c r="Q12" s="70">
        <v>0.2339</v>
      </c>
    </row>
    <row r="13" spans="1:17" x14ac:dyDescent="0.3">
      <c r="A13" s="67" t="s">
        <v>82</v>
      </c>
      <c r="B13" s="68">
        <v>11</v>
      </c>
      <c r="C13" s="69">
        <v>1210</v>
      </c>
      <c r="D13" s="69">
        <v>1198</v>
      </c>
      <c r="E13" s="69">
        <v>-12</v>
      </c>
      <c r="F13" s="69">
        <v>726</v>
      </c>
      <c r="G13" s="69">
        <v>718</v>
      </c>
      <c r="H13" s="69">
        <v>484</v>
      </c>
      <c r="I13" s="69">
        <v>480</v>
      </c>
      <c r="J13" s="69">
        <v>194</v>
      </c>
      <c r="K13" s="69">
        <v>196</v>
      </c>
      <c r="L13" s="69">
        <v>290</v>
      </c>
      <c r="M13" s="69">
        <v>284</v>
      </c>
      <c r="N13" s="69">
        <v>-6</v>
      </c>
      <c r="O13" s="70">
        <v>-9.9000000000000008E-3</v>
      </c>
      <c r="P13" s="70">
        <v>0.2397</v>
      </c>
      <c r="Q13" s="70">
        <v>0.23710000000000001</v>
      </c>
    </row>
    <row r="14" spans="1:17" x14ac:dyDescent="0.3">
      <c r="A14" s="67" t="s">
        <v>83</v>
      </c>
      <c r="B14" s="68">
        <v>12</v>
      </c>
      <c r="C14" s="69">
        <v>1210</v>
      </c>
      <c r="D14" s="69">
        <v>1225</v>
      </c>
      <c r="E14" s="69">
        <v>15</v>
      </c>
      <c r="F14" s="69">
        <v>726</v>
      </c>
      <c r="G14" s="69">
        <v>731</v>
      </c>
      <c r="H14" s="69">
        <v>484</v>
      </c>
      <c r="I14" s="69">
        <v>494</v>
      </c>
      <c r="J14" s="69">
        <v>194</v>
      </c>
      <c r="K14" s="69">
        <v>191</v>
      </c>
      <c r="L14" s="69">
        <v>290</v>
      </c>
      <c r="M14" s="69">
        <v>303</v>
      </c>
      <c r="N14" s="69">
        <v>13</v>
      </c>
      <c r="O14" s="70">
        <v>1.24E-2</v>
      </c>
      <c r="P14" s="70">
        <v>0.2397</v>
      </c>
      <c r="Q14" s="70">
        <v>0.24729999999999999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95959"/>
  </sheetPr>
  <dimension ref="A1:S14"/>
  <sheetViews>
    <sheetView showGridLines="0" zoomScaleNormal="100" workbookViewId="0"/>
  </sheetViews>
  <sheetFormatPr defaultColWidth="8.6640625" defaultRowHeight="14.4" x14ac:dyDescent="0.3"/>
  <cols>
    <col min="1" max="2" width="12" customWidth="1"/>
    <col min="3" max="19" width="16" customWidth="1"/>
  </cols>
  <sheetData>
    <row r="1" spans="1:19" x14ac:dyDescent="0.3">
      <c r="A1" s="1" t="s">
        <v>194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9" x14ac:dyDescent="0.3">
      <c r="A2" s="66" t="s">
        <v>177</v>
      </c>
      <c r="B2" s="66" t="s">
        <v>178</v>
      </c>
      <c r="C2" s="66" t="s">
        <v>195</v>
      </c>
      <c r="D2" s="66" t="s">
        <v>196</v>
      </c>
      <c r="E2" s="66" t="s">
        <v>197</v>
      </c>
      <c r="F2" s="66" t="s">
        <v>198</v>
      </c>
      <c r="G2" s="66" t="s">
        <v>199</v>
      </c>
      <c r="H2" s="66" t="s">
        <v>200</v>
      </c>
      <c r="I2" s="66" t="s">
        <v>201</v>
      </c>
      <c r="J2" s="66" t="s">
        <v>202</v>
      </c>
      <c r="K2" s="66" t="s">
        <v>203</v>
      </c>
      <c r="L2" s="66" t="s">
        <v>204</v>
      </c>
      <c r="M2" s="66" t="s">
        <v>205</v>
      </c>
      <c r="N2" s="66" t="s">
        <v>206</v>
      </c>
      <c r="O2" s="66" t="s">
        <v>207</v>
      </c>
      <c r="P2" s="66" t="s">
        <v>208</v>
      </c>
      <c r="Q2" s="66" t="s">
        <v>209</v>
      </c>
      <c r="R2" s="66" t="s">
        <v>210</v>
      </c>
      <c r="S2" s="66" t="s">
        <v>211</v>
      </c>
    </row>
    <row r="3" spans="1:19" x14ac:dyDescent="0.3">
      <c r="A3" s="67" t="s">
        <v>72</v>
      </c>
      <c r="B3" s="68">
        <v>1</v>
      </c>
      <c r="C3" s="70">
        <v>0.95</v>
      </c>
      <c r="D3" s="70">
        <v>0.93200000000000005</v>
      </c>
      <c r="E3" s="70">
        <v>-1.7999999999999999E-2</v>
      </c>
      <c r="F3" s="69">
        <v>8200</v>
      </c>
      <c r="G3" s="69">
        <v>8050</v>
      </c>
      <c r="H3" s="69">
        <v>-150</v>
      </c>
      <c r="I3" s="70">
        <v>0.88</v>
      </c>
      <c r="J3" s="70">
        <v>0.85199999999999998</v>
      </c>
      <c r="K3" s="70">
        <v>-2.8000000000000001E-2</v>
      </c>
      <c r="L3" s="69">
        <v>142</v>
      </c>
      <c r="M3" s="69">
        <v>148</v>
      </c>
      <c r="N3" s="69">
        <v>6</v>
      </c>
      <c r="O3" s="69">
        <v>118</v>
      </c>
      <c r="P3" s="69">
        <v>117</v>
      </c>
      <c r="Q3" s="71">
        <v>109.39</v>
      </c>
      <c r="R3" s="71">
        <v>113.29</v>
      </c>
      <c r="S3" s="72">
        <v>3.9</v>
      </c>
    </row>
    <row r="4" spans="1:19" x14ac:dyDescent="0.3">
      <c r="A4" s="67" t="s">
        <v>73</v>
      </c>
      <c r="B4" s="68">
        <v>2</v>
      </c>
      <c r="C4" s="70">
        <v>0.95</v>
      </c>
      <c r="D4" s="70">
        <v>0.94799999999999995</v>
      </c>
      <c r="E4" s="70">
        <v>-2E-3</v>
      </c>
      <c r="F4" s="69">
        <v>8200</v>
      </c>
      <c r="G4" s="69">
        <v>8310</v>
      </c>
      <c r="H4" s="69">
        <v>110</v>
      </c>
      <c r="I4" s="70">
        <v>0.88</v>
      </c>
      <c r="J4" s="70">
        <v>0.874</v>
      </c>
      <c r="K4" s="70">
        <v>-6.0000000000000001E-3</v>
      </c>
      <c r="L4" s="69">
        <v>142</v>
      </c>
      <c r="M4" s="69">
        <v>139</v>
      </c>
      <c r="N4" s="69">
        <v>-3</v>
      </c>
      <c r="O4" s="69">
        <v>118</v>
      </c>
      <c r="P4" s="69">
        <v>119</v>
      </c>
      <c r="Q4" s="71">
        <v>109.39</v>
      </c>
      <c r="R4" s="71">
        <v>106.5</v>
      </c>
      <c r="S4" s="72">
        <v>-2.89</v>
      </c>
    </row>
    <row r="5" spans="1:19" x14ac:dyDescent="0.3">
      <c r="A5" s="67" t="s">
        <v>74</v>
      </c>
      <c r="B5" s="68">
        <v>3</v>
      </c>
      <c r="C5" s="70">
        <v>0.95</v>
      </c>
      <c r="D5" s="70">
        <v>0.95099999999999996</v>
      </c>
      <c r="E5" s="70">
        <v>1E-3</v>
      </c>
      <c r="F5" s="69">
        <v>8700</v>
      </c>
      <c r="G5" s="69">
        <v>8640</v>
      </c>
      <c r="H5" s="69">
        <v>-60</v>
      </c>
      <c r="I5" s="70">
        <v>0.88</v>
      </c>
      <c r="J5" s="70">
        <v>0.88900000000000001</v>
      </c>
      <c r="K5" s="70">
        <v>8.9999999999999993E-3</v>
      </c>
      <c r="L5" s="69">
        <v>150</v>
      </c>
      <c r="M5" s="69">
        <v>153</v>
      </c>
      <c r="N5" s="69">
        <v>3</v>
      </c>
      <c r="O5" s="69">
        <v>119</v>
      </c>
      <c r="P5" s="69">
        <v>119</v>
      </c>
      <c r="Q5" s="71">
        <v>109.2</v>
      </c>
      <c r="R5" s="71">
        <v>111.23</v>
      </c>
      <c r="S5" s="72">
        <v>2.0299999999999998</v>
      </c>
    </row>
    <row r="6" spans="1:19" x14ac:dyDescent="0.3">
      <c r="A6" s="67" t="s">
        <v>75</v>
      </c>
      <c r="B6" s="68">
        <v>4</v>
      </c>
      <c r="C6" s="70">
        <v>0.95</v>
      </c>
      <c r="D6" s="70">
        <v>0.96199999999999997</v>
      </c>
      <c r="E6" s="70">
        <v>1.2E-2</v>
      </c>
      <c r="F6" s="69">
        <v>8700</v>
      </c>
      <c r="G6" s="69">
        <v>8890</v>
      </c>
      <c r="H6" s="69">
        <v>190</v>
      </c>
      <c r="I6" s="70">
        <v>0.88</v>
      </c>
      <c r="J6" s="70">
        <v>0.90100000000000002</v>
      </c>
      <c r="K6" s="70">
        <v>2.1000000000000001E-2</v>
      </c>
      <c r="L6" s="69">
        <v>150</v>
      </c>
      <c r="M6" s="69">
        <v>147</v>
      </c>
      <c r="N6" s="69">
        <v>-3</v>
      </c>
      <c r="O6" s="69">
        <v>119</v>
      </c>
      <c r="P6" s="69">
        <v>120</v>
      </c>
      <c r="Q6" s="71">
        <v>109.2</v>
      </c>
      <c r="R6" s="71">
        <v>105.62</v>
      </c>
      <c r="S6" s="72">
        <v>-3.58</v>
      </c>
    </row>
    <row r="7" spans="1:19" x14ac:dyDescent="0.3">
      <c r="A7" s="67" t="s">
        <v>76</v>
      </c>
      <c r="B7" s="68">
        <v>5</v>
      </c>
      <c r="C7" s="70">
        <v>0.95</v>
      </c>
      <c r="D7" s="70">
        <v>0.94899999999999995</v>
      </c>
      <c r="E7" s="70">
        <v>-1E-3</v>
      </c>
      <c r="F7" s="69">
        <v>9100</v>
      </c>
      <c r="G7" s="69">
        <v>9210</v>
      </c>
      <c r="H7" s="69">
        <v>110</v>
      </c>
      <c r="I7" s="70">
        <v>0.88</v>
      </c>
      <c r="J7" s="70">
        <v>0.876</v>
      </c>
      <c r="K7" s="70">
        <v>-4.0000000000000001E-3</v>
      </c>
      <c r="L7" s="69">
        <v>158</v>
      </c>
      <c r="M7" s="69">
        <v>162</v>
      </c>
      <c r="N7" s="69">
        <v>4</v>
      </c>
      <c r="O7" s="69">
        <v>121</v>
      </c>
      <c r="P7" s="69">
        <v>122</v>
      </c>
      <c r="Q7" s="71">
        <v>110.22</v>
      </c>
      <c r="R7" s="71">
        <v>110.64</v>
      </c>
      <c r="S7" s="72">
        <v>0.42</v>
      </c>
    </row>
    <row r="8" spans="1:19" x14ac:dyDescent="0.3">
      <c r="A8" s="67" t="s">
        <v>77</v>
      </c>
      <c r="B8" s="68">
        <v>6</v>
      </c>
      <c r="C8" s="70">
        <v>0.95</v>
      </c>
      <c r="D8" s="70">
        <v>0.93799999999999994</v>
      </c>
      <c r="E8" s="70">
        <v>-1.2E-2</v>
      </c>
      <c r="F8" s="69">
        <v>9100</v>
      </c>
      <c r="G8" s="69">
        <v>9050</v>
      </c>
      <c r="H8" s="69">
        <v>-50</v>
      </c>
      <c r="I8" s="70">
        <v>0.88</v>
      </c>
      <c r="J8" s="70">
        <v>0.86299999999999999</v>
      </c>
      <c r="K8" s="70">
        <v>-1.7000000000000001E-2</v>
      </c>
      <c r="L8" s="69">
        <v>158</v>
      </c>
      <c r="M8" s="69">
        <v>155</v>
      </c>
      <c r="N8" s="69">
        <v>-3</v>
      </c>
      <c r="O8" s="69">
        <v>121</v>
      </c>
      <c r="P8" s="69">
        <v>121</v>
      </c>
      <c r="Q8" s="71">
        <v>110.22</v>
      </c>
      <c r="R8" s="71">
        <v>109.17</v>
      </c>
      <c r="S8" s="72">
        <v>-1.05</v>
      </c>
    </row>
    <row r="9" spans="1:19" x14ac:dyDescent="0.3">
      <c r="A9" s="67" t="s">
        <v>78</v>
      </c>
      <c r="B9" s="68">
        <v>7</v>
      </c>
      <c r="C9" s="70">
        <v>0.95</v>
      </c>
      <c r="D9" s="70">
        <v>0.96399999999999997</v>
      </c>
      <c r="E9" s="70">
        <v>1.4E-2</v>
      </c>
      <c r="F9" s="69">
        <v>9300</v>
      </c>
      <c r="G9" s="69">
        <v>9480</v>
      </c>
      <c r="H9" s="69">
        <v>180</v>
      </c>
      <c r="I9" s="70">
        <v>0.88</v>
      </c>
      <c r="J9" s="70">
        <v>0.91200000000000003</v>
      </c>
      <c r="K9" s="70">
        <v>3.2000000000000001E-2</v>
      </c>
      <c r="L9" s="69">
        <v>162</v>
      </c>
      <c r="M9" s="69">
        <v>168</v>
      </c>
      <c r="N9" s="69">
        <v>6</v>
      </c>
      <c r="O9" s="69">
        <v>122</v>
      </c>
      <c r="P9" s="69">
        <v>123</v>
      </c>
      <c r="Q9" s="71">
        <v>110.32</v>
      </c>
      <c r="R9" s="71">
        <v>109.92</v>
      </c>
      <c r="S9" s="72">
        <v>-0.4</v>
      </c>
    </row>
    <row r="10" spans="1:19" x14ac:dyDescent="0.3">
      <c r="A10" s="67" t="s">
        <v>79</v>
      </c>
      <c r="B10" s="68">
        <v>8</v>
      </c>
      <c r="C10" s="70">
        <v>0.95</v>
      </c>
      <c r="D10" s="70">
        <v>0.97099999999999997</v>
      </c>
      <c r="E10" s="70">
        <v>2.1000000000000001E-2</v>
      </c>
      <c r="F10" s="69">
        <v>9300</v>
      </c>
      <c r="G10" s="69">
        <v>9620</v>
      </c>
      <c r="H10" s="69">
        <v>320</v>
      </c>
      <c r="I10" s="70">
        <v>0.88</v>
      </c>
      <c r="J10" s="70">
        <v>0.92400000000000004</v>
      </c>
      <c r="K10" s="70">
        <v>4.3999999999999997E-2</v>
      </c>
      <c r="L10" s="69">
        <v>162</v>
      </c>
      <c r="M10" s="69">
        <v>159</v>
      </c>
      <c r="N10" s="69">
        <v>-3</v>
      </c>
      <c r="O10" s="69">
        <v>122</v>
      </c>
      <c r="P10" s="69">
        <v>122</v>
      </c>
      <c r="Q10" s="71">
        <v>110.32</v>
      </c>
      <c r="R10" s="71">
        <v>106.76</v>
      </c>
      <c r="S10" s="72">
        <v>-3.56</v>
      </c>
    </row>
    <row r="11" spans="1:19" x14ac:dyDescent="0.3">
      <c r="A11" s="67" t="s">
        <v>80</v>
      </c>
      <c r="B11" s="68">
        <v>9</v>
      </c>
      <c r="C11" s="70">
        <v>0.95</v>
      </c>
      <c r="D11" s="70">
        <v>0.95799999999999996</v>
      </c>
      <c r="E11" s="70">
        <v>8.0000000000000002E-3</v>
      </c>
      <c r="F11" s="69">
        <v>8800</v>
      </c>
      <c r="G11" s="69">
        <v>8710</v>
      </c>
      <c r="H11" s="69">
        <v>-90</v>
      </c>
      <c r="I11" s="70">
        <v>0.88</v>
      </c>
      <c r="J11" s="70">
        <v>0.89100000000000001</v>
      </c>
      <c r="K11" s="70">
        <v>1.0999999999999999E-2</v>
      </c>
      <c r="L11" s="69">
        <v>153</v>
      </c>
      <c r="M11" s="69">
        <v>155</v>
      </c>
      <c r="N11" s="69">
        <v>2</v>
      </c>
      <c r="O11" s="69">
        <v>120</v>
      </c>
      <c r="P11" s="69">
        <v>120</v>
      </c>
      <c r="Q11" s="71">
        <v>110.57</v>
      </c>
      <c r="R11" s="71">
        <v>112.28</v>
      </c>
      <c r="S11" s="72">
        <v>1.71</v>
      </c>
    </row>
    <row r="12" spans="1:19" x14ac:dyDescent="0.3">
      <c r="A12" s="67" t="s">
        <v>81</v>
      </c>
      <c r="B12" s="68">
        <v>10</v>
      </c>
      <c r="C12" s="70">
        <v>0.95</v>
      </c>
      <c r="D12" s="70">
        <v>0.94199999999999995</v>
      </c>
      <c r="E12" s="70">
        <v>-8.0000000000000002E-3</v>
      </c>
      <c r="F12" s="69">
        <v>8800</v>
      </c>
      <c r="G12" s="69">
        <v>8650</v>
      </c>
      <c r="H12" s="69">
        <v>-150</v>
      </c>
      <c r="I12" s="70">
        <v>0.88</v>
      </c>
      <c r="J12" s="70">
        <v>0.878</v>
      </c>
      <c r="K12" s="70">
        <v>-2E-3</v>
      </c>
      <c r="L12" s="69">
        <v>153</v>
      </c>
      <c r="M12" s="69">
        <v>149</v>
      </c>
      <c r="N12" s="69">
        <v>-4</v>
      </c>
      <c r="O12" s="69">
        <v>120</v>
      </c>
      <c r="P12" s="69">
        <v>119</v>
      </c>
      <c r="Q12" s="71">
        <v>110.57</v>
      </c>
      <c r="R12" s="71">
        <v>110.17</v>
      </c>
      <c r="S12" s="72">
        <v>-0.4</v>
      </c>
    </row>
    <row r="13" spans="1:19" x14ac:dyDescent="0.3">
      <c r="A13" s="67" t="s">
        <v>82</v>
      </c>
      <c r="B13" s="68">
        <v>11</v>
      </c>
      <c r="C13" s="70">
        <v>0.95</v>
      </c>
      <c r="D13" s="70">
        <v>0.93600000000000005</v>
      </c>
      <c r="E13" s="70">
        <v>-1.4E-2</v>
      </c>
      <c r="F13" s="69">
        <v>8400</v>
      </c>
      <c r="G13" s="69">
        <v>8280</v>
      </c>
      <c r="H13" s="69">
        <v>-120</v>
      </c>
      <c r="I13" s="70">
        <v>0.88</v>
      </c>
      <c r="J13" s="70">
        <v>0.85899999999999999</v>
      </c>
      <c r="K13" s="70">
        <v>-2.1000000000000001E-2</v>
      </c>
      <c r="L13" s="69">
        <v>145</v>
      </c>
      <c r="M13" s="69">
        <v>141</v>
      </c>
      <c r="N13" s="69">
        <v>-4</v>
      </c>
      <c r="O13" s="69">
        <v>119</v>
      </c>
      <c r="P13" s="69">
        <v>118</v>
      </c>
      <c r="Q13" s="71">
        <v>109.52</v>
      </c>
      <c r="R13" s="71">
        <v>110.39</v>
      </c>
      <c r="S13" s="72">
        <v>0.87</v>
      </c>
    </row>
    <row r="14" spans="1:19" x14ac:dyDescent="0.3">
      <c r="A14" s="67" t="s">
        <v>83</v>
      </c>
      <c r="B14" s="68">
        <v>12</v>
      </c>
      <c r="C14" s="70">
        <v>0.95</v>
      </c>
      <c r="D14" s="70">
        <v>0.95299999999999996</v>
      </c>
      <c r="E14" s="70">
        <v>3.0000000000000001E-3</v>
      </c>
      <c r="F14" s="69">
        <v>8400</v>
      </c>
      <c r="G14" s="69">
        <v>8490</v>
      </c>
      <c r="H14" s="69">
        <v>90</v>
      </c>
      <c r="I14" s="70">
        <v>0.88</v>
      </c>
      <c r="J14" s="70">
        <v>0.88600000000000001</v>
      </c>
      <c r="K14" s="70">
        <v>6.0000000000000001E-3</v>
      </c>
      <c r="L14" s="69">
        <v>145</v>
      </c>
      <c r="M14" s="69">
        <v>148</v>
      </c>
      <c r="N14" s="69">
        <v>3</v>
      </c>
      <c r="O14" s="69">
        <v>119</v>
      </c>
      <c r="P14" s="69">
        <v>120</v>
      </c>
      <c r="Q14" s="71">
        <v>109.52</v>
      </c>
      <c r="R14" s="71">
        <v>108.6</v>
      </c>
      <c r="S14" s="72">
        <v>-0.92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Assumptions</vt:lpstr>
      <vt:lpstr>Budget vs Actuals</vt:lpstr>
      <vt:lpstr>Variance Analysis</vt:lpstr>
      <vt:lpstr>Headcount</vt:lpstr>
      <vt:lpstr>Operational KPIs</vt:lpstr>
      <vt:lpstr>Full Year Forecast</vt:lpstr>
      <vt:lpstr>PL_Data</vt:lpstr>
      <vt:lpstr>KPI_Data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Alugu Rohit Raj</cp:lastModifiedBy>
  <cp:revision>0</cp:revision>
  <dcterms:created xsi:type="dcterms:W3CDTF">2026-06-22T12:54:32Z</dcterms:created>
  <dcterms:modified xsi:type="dcterms:W3CDTF">2026-06-22T13:25:18Z</dcterms:modified>
  <dc:language>en-US</dc:language>
</cp:coreProperties>
</file>