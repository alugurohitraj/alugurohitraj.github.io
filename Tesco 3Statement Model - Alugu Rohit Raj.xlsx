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7"/>
  </bookViews>
  <sheets>
    <sheet name="Cover" sheetId="1" state="visible" r:id="rId3"/>
    <sheet name="Assumptions" sheetId="2" state="visible" r:id="rId4"/>
    <sheet name="Historical Data" sheetId="3" state="visible" r:id="rId5"/>
    <sheet name="Income Statement" sheetId="4" state="visible" r:id="rId6"/>
    <sheet name="Balance Sheet" sheetId="5" state="visible" r:id="rId7"/>
    <sheet name="Cash Flow" sheetId="6" state="visible" r:id="rId8"/>
    <sheet name="Dashboard" sheetId="7" state="visible" r:id="rId9"/>
    <sheet name="Model Check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<sst xmlns="http://schemas.openxmlformats.org/spreadsheetml/2006/main" count="272" uniqueCount="197">
  <si>
    <t xml:space="preserve">TESCO PLC</t>
  </si>
  <si>
    <t xml:space="preserve">3-Statement Integrated Financial Model</t>
  </si>
  <si>
    <t xml:space="preserve">FY2020–FY2024 Historical  |  FY2025E–FY2027E Projection</t>
  </si>
  <si>
    <t xml:space="preserve">Prepared by:</t>
  </si>
  <si>
    <t xml:space="preserve">Alugu Rohit Raj</t>
  </si>
  <si>
    <t xml:space="preserve">Qualification:</t>
  </si>
  <si>
    <t xml:space="preserve">MSc Accounting and Finance, Part Qualified ACCA</t>
  </si>
  <si>
    <t xml:space="preserve">Date:</t>
  </si>
  <si>
    <t xml:space="preserve">June 2025</t>
  </si>
  <si>
    <t xml:space="preserve">Currency:</t>
  </si>
  <si>
    <t xml:space="preserve">GBP £ Millions</t>
  </si>
  <si>
    <t xml:space="preserve">Fiscal Year End:</t>
  </si>
  <si>
    <t xml:space="preserve">February (Tesco FY convention)</t>
  </si>
  <si>
    <t xml:space="preserve">Data Source:</t>
  </si>
  <si>
    <t xml:space="preserve">Tesco PLC Annual Reports 2020–2024 | StockAnalysis.com | Yahoo Finance</t>
  </si>
  <si>
    <t xml:space="preserve">WORKSHEET GUIDE</t>
  </si>
  <si>
    <t xml:space="preserve">Assumptions</t>
  </si>
  <si>
    <t xml:space="preserve">Forward-looking drivers &amp; key model inputs</t>
  </si>
  <si>
    <t xml:space="preserve">Historical Data</t>
  </si>
  <si>
    <t xml:space="preserve">5-year raw financials (FY2020–FY2024)</t>
  </si>
  <si>
    <t xml:space="preserve">Income Statement</t>
  </si>
  <si>
    <t xml:space="preserve">Historical + 3-year projected P&amp;L</t>
  </si>
  <si>
    <t xml:space="preserve">Balance Sheet</t>
  </si>
  <si>
    <t xml:space="preserve">Historical + 3-year projected BS</t>
  </si>
  <si>
    <t xml:space="preserve">Cash Flow</t>
  </si>
  <si>
    <t xml:space="preserve">Historical + 3-year projected CFS</t>
  </si>
  <si>
    <t xml:space="preserve">Dashboard</t>
  </si>
  <si>
    <t xml:space="preserve">KPI charts &amp; key ratio summary</t>
  </si>
  <si>
    <t xml:space="preserve">Model Checks</t>
  </si>
  <si>
    <t xml:space="preserve">Balance check &amp; integrity tests</t>
  </si>
  <si>
    <t xml:space="preserve">ASSUMPTIONS &amp; KEY DRIVERS</t>
  </si>
  <si>
    <t xml:space="preserve">All projections use 3-year averages of historical data as base assumptions</t>
  </si>
  <si>
    <t xml:space="preserve">Driver</t>
  </si>
  <si>
    <t xml:space="preserve">FY2025E</t>
  </si>
  <si>
    <t xml:space="preserve">FY2026E</t>
  </si>
  <si>
    <t xml:space="preserve">FY2027E</t>
  </si>
  <si>
    <t xml:space="preserve">INCOME STATEMENT ASSUMPTIONS</t>
  </si>
  <si>
    <t xml:space="preserve">Revenue Growth Rate</t>
  </si>
  <si>
    <t xml:space="preserve">Gross Margin %</t>
  </si>
  <si>
    <t xml:space="preserve">SG&amp;A as % of Revenue</t>
  </si>
  <si>
    <t xml:space="preserve">EBITDA Margin %</t>
  </si>
  <si>
    <t xml:space="preserve">D&amp;A as % of Revenue</t>
  </si>
  <si>
    <t xml:space="preserve">Interest Income (£m)</t>
  </si>
  <si>
    <t xml:space="preserve">Interest Expense (£m)</t>
  </si>
  <si>
    <t xml:space="preserve">Effective Tax Rate</t>
  </si>
  <si>
    <t xml:space="preserve">WORKING CAPITAL ASSUMPTIONS</t>
  </si>
  <si>
    <t xml:space="preserve">Inventory Days (DIO)</t>
  </si>
  <si>
    <t xml:space="preserve">Debtor Days (DSO)</t>
  </si>
  <si>
    <t xml:space="preserve">Creditor Days (DPO)</t>
  </si>
  <si>
    <t xml:space="preserve">CAPITAL EXPENDITURE &amp; BALANCE SHEET</t>
  </si>
  <si>
    <t xml:space="preserve">Capex as % of Revenue</t>
  </si>
  <si>
    <t xml:space="preserve">D&amp;A (£m)</t>
  </si>
  <si>
    <t xml:space="preserve">Net Debt Target (£m)</t>
  </si>
  <si>
    <t xml:space="preserve">KEY ASSUMPTIONS RATIONALE</t>
  </si>
  <si>
    <t xml:space="preserve">• Revenue Growth: Based on 3-yr CAGR (FY22-FY24 = +5.5%), conservative 2.0–2.6% used for projections</t>
  </si>
  <si>
    <t xml:space="preserve">• Gross Margin: 5-yr average ~7.1%; FY2023 was anomaly (supply chain costs) – normalised to 7.1-7.2%</t>
  </si>
  <si>
    <t xml:space="preserve">• SG&amp;A: Stable at ~3.0% of revenue; Tesco Save-to-Invest programme has kept opex flat</t>
  </si>
  <si>
    <t xml:space="preserve">• Interest Expense: Slight reduction assumed as Tesco Bank sale reduces leverage</t>
  </si>
  <si>
    <t xml:space="preserve">• Tax Rate: 25.5% reflects UK corporation tax increase from April 2023</t>
  </si>
  <si>
    <t xml:space="preserve">• Capex: 2.1% of revenue consistent with maintenance + selective store investment</t>
  </si>
  <si>
    <t xml:space="preserve">TESCO PLC — HISTORICAL FINANCIAL DATA (FY2020–FY2024)</t>
  </si>
  <si>
    <t xml:space="preserve">Source: Tesco PLC Annual Reports 2020–2024 | StockAnalysis.com | Yahoo Finance. All figures in £ Millions.</t>
  </si>
  <si>
    <t xml:space="preserve">FY2020</t>
  </si>
  <si>
    <t xml:space="preserve">FY2021</t>
  </si>
  <si>
    <t xml:space="preserve">FY2022</t>
  </si>
  <si>
    <t xml:space="preserve">FY2023</t>
  </si>
  <si>
    <t xml:space="preserve">FY2024</t>
  </si>
  <si>
    <t xml:space="preserve">INCOME STATEMENT  (£m)</t>
  </si>
  <si>
    <t xml:space="preserve">Revenue</t>
  </si>
  <si>
    <t xml:space="preserve">Cost of Revenue</t>
  </si>
  <si>
    <t xml:space="preserve">Gross Profit</t>
  </si>
  <si>
    <t xml:space="preserve">SG&amp;A Expenses</t>
  </si>
  <si>
    <t xml:space="preserve">EBITDA</t>
  </si>
  <si>
    <t xml:space="preserve">Operating Income (EBIT)</t>
  </si>
  <si>
    <t xml:space="preserve">Interest Income</t>
  </si>
  <si>
    <t xml:space="preserve">Interest Expense</t>
  </si>
  <si>
    <t xml:space="preserve">Profit Before Tax</t>
  </si>
  <si>
    <t xml:space="preserve">Income Tax</t>
  </si>
  <si>
    <t xml:space="preserve">Net Income (Continuing Ops)</t>
  </si>
  <si>
    <t xml:space="preserve">KEY MARGINS</t>
  </si>
  <si>
    <t xml:space="preserve">Operating Margin %</t>
  </si>
  <si>
    <t xml:space="preserve">Net Profit Margin %</t>
  </si>
  <si>
    <t xml:space="preserve">BALANCE SHEET  (£m)</t>
  </si>
  <si>
    <t xml:space="preserve">— ASSETS —</t>
  </si>
  <si>
    <t xml:space="preserve">Cash &amp; Cash Equivalents</t>
  </si>
  <si>
    <t xml:space="preserve">Inventories</t>
  </si>
  <si>
    <t xml:space="preserve">Trade Receivables</t>
  </si>
  <si>
    <t xml:space="preserve">Other Current Assets</t>
  </si>
  <si>
    <t xml:space="preserve">Total Current Assets</t>
  </si>
  <si>
    <t xml:space="preserve">Property, Plant &amp; Equipment</t>
  </si>
  <si>
    <t xml:space="preserve">Intangible Assets</t>
  </si>
  <si>
    <t xml:space="preserve">Right-of-Use Assets (IFRS 16)</t>
  </si>
  <si>
    <t xml:space="preserve">Other Non-Current Assets</t>
  </si>
  <si>
    <t xml:space="preserve">TOTAL ASSETS</t>
  </si>
  <si>
    <t xml:space="preserve">— LIABILITIES —</t>
  </si>
  <si>
    <t xml:space="preserve">Trade Payables</t>
  </si>
  <si>
    <t xml:space="preserve">Short-term Borrowings</t>
  </si>
  <si>
    <t xml:space="preserve">Other Current Liabilities</t>
  </si>
  <si>
    <t xml:space="preserve">Total Current Liabilities</t>
  </si>
  <si>
    <t xml:space="preserve">Long-term Borrowings</t>
  </si>
  <si>
    <t xml:space="preserve">Lease Liabilities (IFRS 16)</t>
  </si>
  <si>
    <t xml:space="preserve">Other Non-Current Liabilities</t>
  </si>
  <si>
    <t xml:space="preserve">TOTAL LIABILITIES</t>
  </si>
  <si>
    <t xml:space="preserve">TOTAL EQUITY</t>
  </si>
  <si>
    <t xml:space="preserve">CASH FLOW STATEMENT  (£m)</t>
  </si>
  <si>
    <t xml:space="preserve">Cash from Operating Activities</t>
  </si>
  <si>
    <t xml:space="preserve">Capital Expenditure (Capex)</t>
  </si>
  <si>
    <t xml:space="preserve">Cash from Investing Activities</t>
  </si>
  <si>
    <t xml:space="preserve">Cash from Financing Activities</t>
  </si>
  <si>
    <t xml:space="preserve">Net Change in Cash</t>
  </si>
  <si>
    <t xml:space="preserve">Ending Cash Position</t>
  </si>
  <si>
    <t xml:space="preserve">Free Cash Flow</t>
  </si>
  <si>
    <t xml:space="preserve">Note: Free Cash Flow figures represent Tesco's Retail Free Cash Flow (APM) as reported in Annual Reports, which excludes Tesco Bank and includes working capital movements not captured in the simplified Operating CF line above.</t>
  </si>
  <si>
    <t xml:space="preserve">TESCO PLC — CONSOLIDATED INCOME STATEMENT  (£m)</t>
  </si>
  <si>
    <t xml:space="preserve">Historical: Tesco Annual Reports | Projections: Model-driven from Assumptions sheet</t>
  </si>
  <si>
    <t xml:space="preserve">Historical ◄</t>
  </si>
  <si>
    <t xml:space="preserve">► Projected</t>
  </si>
  <si>
    <t xml:space="preserve">  Gross Margin %</t>
  </si>
  <si>
    <t xml:space="preserve">  EBITDA Margin %</t>
  </si>
  <si>
    <t xml:space="preserve">Depreciation &amp; Amortisation</t>
  </si>
  <si>
    <t xml:space="preserve">  Operating Margin %</t>
  </si>
  <si>
    <t xml:space="preserve">NET INCOME</t>
  </si>
  <si>
    <t xml:space="preserve">  Net Profit Margin %</t>
  </si>
  <si>
    <t xml:space="preserve">Note: FY2025E revenue seed value = FY2024 actual (£68,187m). All projections driven by Assumptions sheet.</t>
  </si>
  <si>
    <t xml:space="preserve">Note on Net Income: FY2024 statutory net income of £1,188m was suppressed by one-off adjusting items (restructuring, property write-downs, bank discontinuation). Projected NI uses normalised margins; the increase to £1,771m in FY2025E reflects removal of these one-off charges.</t>
  </si>
  <si>
    <t xml:space="preserve">TESCO PLC — CONSOLIDATED BALANCE SHEET  (£m)</t>
  </si>
  <si>
    <t xml:space="preserve">Historical: Tesco Annual Reports | Projections driven by working capital days &amp; revenue assumptions</t>
  </si>
  <si>
    <t xml:space="preserve">ASSETS</t>
  </si>
  <si>
    <t xml:space="preserve">LIABILITIES</t>
  </si>
  <si>
    <t xml:space="preserve">EQUITY</t>
  </si>
  <si>
    <t xml:space="preserve">BALANCE CHECK  (Assets = Liabilities + Equity)</t>
  </si>
  <si>
    <t xml:space="preserve">Total Liabilities + Equity</t>
  </si>
  <si>
    <t xml:space="preserve">Total Assets</t>
  </si>
  <si>
    <t xml:space="preserve">DIFFERENCE  (Must be ZERO)</t>
  </si>
  <si>
    <t xml:space="preserve">TESCO PLC — CONSOLIDATED CASH FLOW STATEMENT  (£m)</t>
  </si>
  <si>
    <t xml:space="preserve">Historical: Yahoo Finance / Tesco Annual Reports | Projections: Derived from IS and BS</t>
  </si>
  <si>
    <t xml:space="preserve">OPERATING ACTIVITIES</t>
  </si>
  <si>
    <t xml:space="preserve">Net Income</t>
  </si>
  <si>
    <t xml:space="preserve">Add: Depreciation &amp; Amortisation</t>
  </si>
  <si>
    <t xml:space="preserve">Changes in Working Capital</t>
  </si>
  <si>
    <t xml:space="preserve">Tax Paid &amp; Other Operating Items</t>
  </si>
  <si>
    <t xml:space="preserve">NET CASH FROM OPERATING ACTIVITIES</t>
  </si>
  <si>
    <t xml:space="preserve">INVESTING ACTIVITIES</t>
  </si>
  <si>
    <t xml:space="preserve">Proceeds from Asset Sales / Other</t>
  </si>
  <si>
    <t xml:space="preserve">NET CASH FROM INVESTING ACTIVITIES</t>
  </si>
  <si>
    <t xml:space="preserve">FINANCING ACTIVITIES</t>
  </si>
  <si>
    <t xml:space="preserve">Dividends Paid</t>
  </si>
  <si>
    <t xml:space="preserve">Share Buybacks</t>
  </si>
  <si>
    <t xml:space="preserve">Net Debt Change / Other Financing</t>
  </si>
  <si>
    <t xml:space="preserve">NET CASH FROM FINANCING ACTIVITIES</t>
  </si>
  <si>
    <t xml:space="preserve">CASH SUMMARY</t>
  </si>
  <si>
    <t xml:space="preserve">Opening Cash Balance</t>
  </si>
  <si>
    <t xml:space="preserve">ENDING CASH BALANCE</t>
  </si>
  <si>
    <t xml:space="preserve">FREE CASH FLOW  (Operating – Capex)</t>
  </si>
  <si>
    <t xml:space="preserve">TESCO PLC — FINANCIAL PERFORMANCE DASHBOARD</t>
  </si>
  <si>
    <t xml:space="preserve">All figures £m | Historical FY2020–FY2024 | Projected FY2025E–FY2027E</t>
  </si>
  <si>
    <t xml:space="preserve">FY2024 Revenue</t>
  </si>
  <si>
    <t xml:space="preserve">FY2024 EBITDA</t>
  </si>
  <si>
    <t xml:space="preserve">FY2024 Net Income</t>
  </si>
  <si>
    <t xml:space="preserve">FY2024 FCF</t>
  </si>
  <si>
    <t xml:space="preserve">£68,187m</t>
  </si>
  <si>
    <t xml:space="preserve">£4,544m</t>
  </si>
  <si>
    <t xml:space="preserve">£1,188m</t>
  </si>
  <si>
    <t xml:space="preserve">£2,731m</t>
  </si>
  <si>
    <t xml:space="preserve">+4.4% YoY</t>
  </si>
  <si>
    <t xml:space="preserve">6.7% margin</t>
  </si>
  <si>
    <t xml:space="preserve">1.7% margin (cont. ops)</t>
  </si>
  <si>
    <t xml:space="preserve">4.0% FCF yield</t>
  </si>
  <si>
    <t xml:space="preserve">DATA TABLE — FOR CHART REFERENCE  (£m)</t>
  </si>
  <si>
    <t xml:space="preserve">Revenue (£m)</t>
  </si>
  <si>
    <t xml:space="preserve">Gross Profit (£m)</t>
  </si>
  <si>
    <t xml:space="preserve">EBITDA (£m)</t>
  </si>
  <si>
    <t xml:space="preserve">Net Income (£m)</t>
  </si>
  <si>
    <t xml:space="preserve">Free Cash Flow (£m)</t>
  </si>
  <si>
    <t xml:space="preserve">Net Margin %</t>
  </si>
  <si>
    <t xml:space="preserve">KEY FINANCIAL RATIOS</t>
  </si>
  <si>
    <t xml:space="preserve">Return on Equity (ROE)</t>
  </si>
  <si>
    <t xml:space="preserve">Current Ratio (x)</t>
  </si>
  <si>
    <t xml:space="preserve">Net Debt / EBITDA (x)</t>
  </si>
  <si>
    <t xml:space="preserve">Interest Coverage (x)</t>
  </si>
  <si>
    <t xml:space="preserve">MODEL INTEGRITY CHECKS</t>
  </si>
  <si>
    <t xml:space="preserve">All checks below should show PASS (green). Any FAIL requires investigation.</t>
  </si>
  <si>
    <t xml:space="preserve">CHECK DESCRIPTION</t>
  </si>
  <si>
    <t xml:space="preserve">VALUE</t>
  </si>
  <si>
    <t xml:space="preserve">STATUS</t>
  </si>
  <si>
    <t xml:space="preserve">FY2024 Revenue matches Annual Report (£68,187m)</t>
  </si>
  <si>
    <t xml:space="preserve">FY2024 Net Income matches Annual Report (£1,188m)</t>
  </si>
  <si>
    <t xml:space="preserve">FY2024 Total Assets matches Annual Report (£47,039m)</t>
  </si>
  <si>
    <t xml:space="preserve">FY2024 Total Equity matches Annual Report (£11,665m)</t>
  </si>
  <si>
    <t xml:space="preserve">FY2024 Operating Cash Flow matches (£3,839m)</t>
  </si>
  <si>
    <t xml:space="preserve">Income Statement: FY2025E Revenue is positive</t>
  </si>
  <si>
    <t xml:space="preserve">Income Statement: FY2025E Net Income is positive</t>
  </si>
  <si>
    <t xml:space="preserve">Balance Sheet: FY2025E Total Assets = Liabilities + Equity</t>
  </si>
  <si>
    <t xml:space="preserve">Balance Sheet: FY2026E Total Assets = Liabilities + Equity</t>
  </si>
  <si>
    <t xml:space="preserve">Cash Flow: FY2025E Operating CF is positive</t>
  </si>
  <si>
    <t xml:space="preserve">Revenue Growth FY2025E vs FY2024 is 2–4%</t>
  </si>
  <si>
    <t xml:space="preserve">EBITDA Margin FY2025E is 5–10%</t>
  </si>
</sst>
</file>

<file path=xl/styles.xml><?xml version="1.0" encoding="utf-8"?>
<styleSheet xmlns="http://schemas.openxmlformats.org/spreadsheetml/2006/main">
  <numFmts count="8">
    <numFmt numFmtId="164" formatCode="General"/>
    <numFmt numFmtId="165" formatCode="0.0%;\(0.0%\);\-"/>
    <numFmt numFmtId="166" formatCode="#,##0;\(#,##0\);\-"/>
    <numFmt numFmtId="167" formatCode="0.0%;\(0.0%\);\-"/>
    <numFmt numFmtId="168" formatCode="0.0\x"/>
    <numFmt numFmtId="169" formatCode="0.00\x"/>
    <numFmt numFmtId="170" formatCode="0.0\x"/>
    <numFmt numFmtId="171" formatCode="0%"/>
  </numFmts>
  <fonts count="24">
    <font>
      <sz val="11"/>
      <color theme="1"/>
      <name val="Calibri"/>
      <family val="2"/>
      <charset val="1"/>
    </font>
    <font>
      <sz val="10"/>
      <name val="Arial"/>
      <family val="0"/>
    </font>
    <font>
      <sz val="10"/>
      <name val="Arial"/>
      <family val="0"/>
    </font>
    <font>
      <sz val="10"/>
      <name val="Arial"/>
      <family val="0"/>
    </font>
    <font>
      <b val="true"/>
      <sz val="28"/>
      <color rgb="FFFFFFFF"/>
      <name val="Arial"/>
      <family val="0"/>
      <charset val="1"/>
    </font>
    <font>
      <b val="true"/>
      <sz val="14"/>
      <color rgb="FFFFFFFF"/>
      <name val="Arial"/>
      <family val="0"/>
      <charset val="1"/>
    </font>
    <font>
      <sz val="11"/>
      <color rgb="FFFFFFFF"/>
      <name val="Arial"/>
      <family val="0"/>
      <charset val="1"/>
    </font>
    <font>
      <b val="true"/>
      <sz val="10"/>
      <color rgb="FF000000"/>
      <name val="Arial"/>
      <family val="0"/>
      <charset val="1"/>
    </font>
    <font>
      <sz val="10"/>
      <color rgb="FF000000"/>
      <name val="Arial"/>
      <family val="0"/>
      <charset val="1"/>
    </font>
    <font>
      <b val="true"/>
      <sz val="10"/>
      <color rgb="FFFFFFFF"/>
      <name val="Arial"/>
      <family val="0"/>
      <charset val="1"/>
    </font>
    <font>
      <b val="true"/>
      <sz val="10"/>
      <color rgb="FF2E75B6"/>
      <name val="Arial"/>
      <family val="0"/>
      <charset val="1"/>
    </font>
    <font>
      <b val="true"/>
      <sz val="12"/>
      <color rgb="FFFFFFFF"/>
      <name val="Arial"/>
      <family val="0"/>
      <charset val="1"/>
    </font>
    <font>
      <i val="true"/>
      <sz val="9"/>
      <color rgb="FF595959"/>
      <name val="Arial"/>
      <family val="0"/>
      <charset val="1"/>
    </font>
    <font>
      <sz val="10"/>
      <color rgb="FF0000FF"/>
      <name val="Arial"/>
      <family val="0"/>
      <charset val="1"/>
    </font>
    <font>
      <b val="true"/>
      <sz val="10"/>
      <color rgb="FF1F3864"/>
      <name val="Arial"/>
      <family val="0"/>
      <charset val="1"/>
    </font>
    <font>
      <i val="true"/>
      <sz val="9"/>
      <color rgb="FF000000"/>
      <name val="Arial"/>
      <family val="0"/>
      <charset val="1"/>
    </font>
    <font>
      <b val="true"/>
      <sz val="10"/>
      <color rgb="FF0000FF"/>
      <name val="Arial"/>
      <family val="0"/>
      <charset val="1"/>
    </font>
    <font>
      <b val="true"/>
      <sz val="10"/>
      <color rgb="FF404040"/>
      <name val="Arial"/>
      <family val="0"/>
      <charset val="1"/>
    </font>
    <font>
      <i val="true"/>
      <sz val="9"/>
      <color rgb="FF2E75B6"/>
      <name val="Arial"/>
      <family val="0"/>
      <charset val="1"/>
    </font>
    <font>
      <b val="true"/>
      <sz val="10"/>
      <color rgb="FF375623"/>
      <name val="Arial"/>
      <family val="0"/>
      <charset val="1"/>
    </font>
    <font>
      <sz val="10"/>
      <color rgb="FF375623"/>
      <name val="Arial"/>
      <family val="0"/>
      <charset val="1"/>
    </font>
    <font>
      <b val="true"/>
      <sz val="9"/>
      <color rgb="FFFFFFFF"/>
      <name val="Arial"/>
      <family val="0"/>
      <charset val="1"/>
    </font>
    <font>
      <b val="true"/>
      <sz val="16"/>
      <color rgb="FF1F3864"/>
      <name val="Arial"/>
      <family val="0"/>
      <charset val="1"/>
    </font>
    <font>
      <sz val="9"/>
      <color rgb="FF595959"/>
      <name val="Calibri"/>
      <family val="2"/>
    </font>
  </fonts>
  <fills count="11">
    <fill>
      <patternFill patternType="none"/>
    </fill>
    <fill>
      <patternFill patternType="gray125"/>
    </fill>
    <fill>
      <patternFill patternType="solid">
        <fgColor rgb="FF1F3864"/>
        <bgColor rgb="FF404040"/>
      </patternFill>
    </fill>
    <fill>
      <patternFill patternType="solid">
        <fgColor rgb="FF2E75B6"/>
        <bgColor rgb="FF4F81BD"/>
      </patternFill>
    </fill>
    <fill>
      <patternFill patternType="solid">
        <fgColor rgb="FFD6E4F0"/>
        <bgColor rgb="FFDCE6F1"/>
      </patternFill>
    </fill>
    <fill>
      <patternFill patternType="solid">
        <fgColor rgb="FFFFF2CC"/>
        <bgColor rgb="FFFFE6E6"/>
      </patternFill>
    </fill>
    <fill>
      <patternFill patternType="solid">
        <fgColor rgb="FFD9D9D9"/>
        <bgColor rgb="FFD6E4F0"/>
      </patternFill>
    </fill>
    <fill>
      <patternFill patternType="solid">
        <fgColor rgb="FFDCE6F1"/>
        <bgColor rgb="FFD6E4F0"/>
      </patternFill>
    </fill>
    <fill>
      <patternFill patternType="solid">
        <fgColor rgb="FFFFE6E6"/>
        <bgColor rgb="FFFFF2CC"/>
      </patternFill>
    </fill>
    <fill>
      <patternFill patternType="solid">
        <fgColor rgb="FFE2EFDA"/>
        <bgColor rgb="FFDCE6F1"/>
      </patternFill>
    </fill>
    <fill>
      <patternFill patternType="solid">
        <fgColor rgb="FFFFFFFF"/>
        <bgColor rgb="FFFFF2CC"/>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false" indent="1" shrinkToFit="false"/>
      <protection locked="true" hidden="false"/>
    </xf>
    <xf numFmtId="164" fontId="8" fillId="0" borderId="1" xfId="0" applyFont="true" applyBorder="true" applyAlignment="true" applyProtection="false">
      <alignment horizontal="left" vertical="center" textRotation="0" wrapText="false" indent="1"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left" vertical="center" textRotation="0" wrapText="false" indent="1" shrinkToFit="false"/>
      <protection locked="true" hidden="false"/>
    </xf>
    <xf numFmtId="164" fontId="11" fillId="2" borderId="2"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left" vertical="center" textRotation="0" wrapText="false" indent="1"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true" applyAlignment="true" applyProtection="false">
      <alignment horizontal="left" vertical="center" textRotation="0" wrapText="false" indent="1" shrinkToFit="false"/>
      <protection locked="true" hidden="false"/>
    </xf>
    <xf numFmtId="164" fontId="8" fillId="4" borderId="0" xfId="0" applyFont="true" applyBorder="false" applyAlignment="true" applyProtection="false">
      <alignment horizontal="left" vertical="center" textRotation="0" wrapText="false" indent="1" shrinkToFit="false"/>
      <protection locked="true" hidden="false"/>
    </xf>
    <xf numFmtId="165" fontId="13" fillId="5" borderId="1" xfId="0" applyFont="true" applyBorder="true" applyAlignment="true" applyProtection="false">
      <alignment horizontal="right" vertical="center" textRotation="0" wrapText="false" indent="0" shrinkToFit="false"/>
      <protection locked="true" hidden="false"/>
    </xf>
    <xf numFmtId="166" fontId="13" fillId="5" borderId="1" xfId="0" applyFont="true" applyBorder="true" applyAlignment="true" applyProtection="false">
      <alignment horizontal="right" vertical="center"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1" shrinkToFit="false"/>
      <protection locked="true" hidden="false"/>
    </xf>
    <xf numFmtId="166" fontId="13" fillId="0" borderId="1" xfId="0" applyFont="true" applyBorder="true" applyAlignment="true" applyProtection="false">
      <alignment horizontal="right" vertical="center" textRotation="0" wrapText="false" indent="0" shrinkToFit="false"/>
      <protection locked="true" hidden="false"/>
    </xf>
    <xf numFmtId="164" fontId="7" fillId="4" borderId="0" xfId="0" applyFont="true" applyBorder="false" applyAlignment="true" applyProtection="false">
      <alignment horizontal="left" vertical="center" textRotation="0" wrapText="false" indent="1"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5" fontId="8" fillId="0" borderId="1" xfId="0" applyFont="tru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1" shrinkToFit="false"/>
      <protection locked="true" hidden="false"/>
    </xf>
    <xf numFmtId="166" fontId="16" fillId="4"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7" fillId="6" borderId="1" xfId="0" applyFont="true" applyBorder="true" applyAlignment="true" applyProtection="false">
      <alignment horizontal="center" vertical="center" textRotation="0" wrapText="true" indent="0" shrinkToFit="false"/>
      <protection locked="true" hidden="false"/>
    </xf>
    <xf numFmtId="164" fontId="12" fillId="6" borderId="0" xfId="0" applyFont="true" applyBorder="false" applyAlignment="true" applyProtection="false">
      <alignment horizontal="center" vertical="center" textRotation="0" wrapText="true" indent="0" shrinkToFit="false"/>
      <protection locked="true" hidden="false"/>
    </xf>
    <xf numFmtId="164" fontId="18" fillId="7" borderId="0" xfId="0" applyFont="true" applyBorder="false" applyAlignment="true" applyProtection="false">
      <alignment horizontal="center" vertical="center" textRotation="0" wrapText="true" indent="0" shrinkToFit="false"/>
      <protection locked="true" hidden="false"/>
    </xf>
    <xf numFmtId="166" fontId="16" fillId="0" borderId="1" xfId="0" applyFont="true" applyBorder="true" applyAlignment="true" applyProtection="false">
      <alignment horizontal="right" vertical="center" textRotation="0" wrapText="false" indent="0" shrinkToFit="false"/>
      <protection locked="true" hidden="false"/>
    </xf>
    <xf numFmtId="166" fontId="19" fillId="0" borderId="1" xfId="0" applyFont="true" applyBorder="true" applyAlignment="true" applyProtection="false">
      <alignment horizontal="right" vertical="center" textRotation="0" wrapText="false" indent="0" shrinkToFit="false"/>
      <protection locked="true" hidden="false"/>
    </xf>
    <xf numFmtId="166" fontId="20" fillId="0" borderId="1" xfId="0" applyFont="true" applyBorder="true" applyAlignment="true" applyProtection="false">
      <alignment horizontal="right" vertical="center" textRotation="0" wrapText="false" indent="0" shrinkToFit="false"/>
      <protection locked="true" hidden="false"/>
    </xf>
    <xf numFmtId="166" fontId="19" fillId="4" borderId="1" xfId="0" applyFont="true" applyBorder="true" applyAlignment="true" applyProtection="false">
      <alignment horizontal="right" vertical="center" textRotation="0" wrapText="false" indent="0" shrinkToFit="false"/>
      <protection locked="true" hidden="false"/>
    </xf>
    <xf numFmtId="165" fontId="13" fillId="4" borderId="1" xfId="0" applyFont="true" applyBorder="true" applyAlignment="true" applyProtection="false">
      <alignment horizontal="right" vertical="center" textRotation="0" wrapText="false" indent="0" shrinkToFit="false"/>
      <protection locked="true" hidden="false"/>
    </xf>
    <xf numFmtId="165" fontId="20" fillId="4" borderId="1" xfId="0" applyFont="true" applyBorder="true" applyAlignment="true" applyProtection="false">
      <alignment horizontal="right"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8" borderId="0" xfId="0" applyFont="true" applyBorder="false" applyAlignment="true" applyProtection="false">
      <alignment horizontal="left" vertical="center" textRotation="0" wrapText="false" indent="1" shrinkToFit="false"/>
      <protection locked="true" hidden="false"/>
    </xf>
    <xf numFmtId="166" fontId="19" fillId="9" borderId="1" xfId="0" applyFont="true" applyBorder="true" applyAlignment="true" applyProtection="false">
      <alignment horizontal="right" vertical="center" textRotation="0" wrapText="fals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center" vertical="center" textRotation="0" wrapText="true" indent="0" shrinkToFit="false"/>
      <protection locked="true" hidden="false"/>
    </xf>
    <xf numFmtId="164" fontId="21" fillId="3" borderId="0" xfId="0" applyFont="true" applyBorder="true" applyAlignment="true" applyProtection="false">
      <alignment horizontal="center" vertical="center" textRotation="0" wrapText="true" indent="0" shrinkToFit="false"/>
      <protection locked="true" hidden="false"/>
    </xf>
    <xf numFmtId="164" fontId="22" fillId="4" borderId="0" xfId="0" applyFont="true" applyBorder="true" applyAlignment="true" applyProtection="false">
      <alignment horizontal="center" vertical="center" textRotation="0" wrapText="true" indent="0" shrinkToFit="false"/>
      <protection locked="true" hidden="false"/>
    </xf>
    <xf numFmtId="164" fontId="12" fillId="4" borderId="0" xfId="0" applyFont="true" applyBorder="true" applyAlignment="true" applyProtection="false">
      <alignment horizontal="center" vertical="center" textRotation="0" wrapText="true" indent="0" shrinkToFit="false"/>
      <protection locked="true" hidden="false"/>
    </xf>
    <xf numFmtId="164" fontId="12" fillId="4" borderId="0" xfId="0" applyFont="true" applyBorder="true" applyAlignment="true" applyProtection="false">
      <alignment horizontal="center" vertical="center" textRotation="0" wrapText="false" indent="0" shrinkToFit="false"/>
      <protection locked="true" hidden="false"/>
    </xf>
    <xf numFmtId="166" fontId="13" fillId="4" borderId="1" xfId="0" applyFont="true" applyBorder="true" applyAlignment="true" applyProtection="false">
      <alignment horizontal="right" vertical="center" textRotation="0" wrapText="false" indent="0" shrinkToFit="false"/>
      <protection locked="true" hidden="false"/>
    </xf>
    <xf numFmtId="166" fontId="20" fillId="4" borderId="1" xfId="0" applyFont="true" applyBorder="true" applyAlignment="true" applyProtection="false">
      <alignment horizontal="right" vertical="center" textRotation="0" wrapText="false" indent="0" shrinkToFit="false"/>
      <protection locked="true" hidden="false"/>
    </xf>
    <xf numFmtId="164" fontId="8" fillId="10" borderId="0" xfId="0" applyFont="true" applyBorder="false" applyAlignment="true" applyProtection="false">
      <alignment horizontal="left" vertical="center" textRotation="0" wrapText="false" indent="1" shrinkToFit="false"/>
      <protection locked="true" hidden="false"/>
    </xf>
    <xf numFmtId="166" fontId="13" fillId="10" borderId="1" xfId="0" applyFont="true" applyBorder="true" applyAlignment="true" applyProtection="false">
      <alignment horizontal="right" vertical="center" textRotation="0" wrapText="false" indent="0" shrinkToFit="false"/>
      <protection locked="true" hidden="false"/>
    </xf>
    <xf numFmtId="166" fontId="20" fillId="10" borderId="1" xfId="0" applyFont="true" applyBorder="true" applyAlignment="true" applyProtection="false">
      <alignment horizontal="right" vertical="center" textRotation="0" wrapText="false" indent="0" shrinkToFit="false"/>
      <protection locked="true" hidden="false"/>
    </xf>
    <xf numFmtId="165" fontId="13" fillId="10" borderId="1" xfId="0" applyFont="true" applyBorder="true" applyAlignment="true" applyProtection="false">
      <alignment horizontal="right" vertical="center" textRotation="0" wrapText="false" indent="0" shrinkToFit="false"/>
      <protection locked="true" hidden="false"/>
    </xf>
    <xf numFmtId="165" fontId="20" fillId="10" borderId="1" xfId="0" applyFont="true" applyBorder="true" applyAlignment="true" applyProtection="false">
      <alignment horizontal="right" vertical="center" textRotation="0" wrapText="false" indent="0" shrinkToFit="false"/>
      <protection locked="true" hidden="false"/>
    </xf>
    <xf numFmtId="167" fontId="20" fillId="4" borderId="1" xfId="0" applyFont="true" applyBorder="true" applyAlignment="true" applyProtection="false">
      <alignment horizontal="right" vertical="center" textRotation="0" wrapText="false" indent="0" shrinkToFit="false"/>
      <protection locked="true" hidden="false"/>
    </xf>
    <xf numFmtId="168" fontId="13" fillId="0" borderId="1" xfId="0" applyFont="true" applyBorder="true" applyAlignment="true" applyProtection="false">
      <alignment horizontal="right" vertical="center" textRotation="0" wrapText="false" indent="0" shrinkToFit="false"/>
      <protection locked="true" hidden="false"/>
    </xf>
    <xf numFmtId="169" fontId="20" fillId="10" borderId="1" xfId="0" applyFont="true" applyBorder="true" applyAlignment="true" applyProtection="false">
      <alignment horizontal="right" vertical="center" textRotation="0" wrapText="false" indent="0" shrinkToFit="false"/>
      <protection locked="true" hidden="false"/>
    </xf>
    <xf numFmtId="168" fontId="13" fillId="4" borderId="1" xfId="0" applyFont="true" applyBorder="true" applyAlignment="true" applyProtection="false">
      <alignment horizontal="right" vertical="center" textRotation="0" wrapText="false" indent="0" shrinkToFit="false"/>
      <protection locked="true" hidden="false"/>
    </xf>
    <xf numFmtId="170" fontId="20" fillId="4" borderId="1" xfId="0" applyFont="true" applyBorder="true" applyAlignment="true" applyProtection="false">
      <alignment horizontal="right" vertical="center" textRotation="0" wrapText="false" indent="0" shrinkToFit="false"/>
      <protection locked="true" hidden="false"/>
    </xf>
    <xf numFmtId="170" fontId="20" fillId="10" borderId="1" xfId="0" applyFont="true" applyBorder="true" applyAlignment="true" applyProtection="false">
      <alignment horizontal="right" vertical="center" textRotation="0" wrapText="fals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1"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10" borderId="1" xfId="0" applyFont="true" applyBorder="true" applyAlignment="true" applyProtection="false">
      <alignment horizontal="left" vertical="center" textRotation="0" wrapText="false" indent="1" shrinkToFit="false"/>
      <protection locked="true" hidden="false"/>
    </xf>
    <xf numFmtId="165" fontId="20" fillId="0"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4F81BD"/>
      <rgbColor rgb="FF9999FF"/>
      <rgbColor rgb="FFC0504D"/>
      <rgbColor rgb="FFFFF2CC"/>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6E4F0"/>
      <rgbColor rgb="FFE2EFDA"/>
      <rgbColor rgb="FFFFE6E6"/>
      <rgbColor rgb="FF99CCFF"/>
      <rgbColor rgb="FFFF99CC"/>
      <rgbColor rgb="FFCC99FF"/>
      <rgbColor rgb="FFFFCC99"/>
      <rgbColor rgb="FF2E75B6"/>
      <rgbColor rgb="FF4BACC6"/>
      <rgbColor rgb="FF9BBB59"/>
      <rgbColor rgb="FFFFD700"/>
      <rgbColor rgb="FFFF9900"/>
      <rgbColor rgb="FFFF6600"/>
      <rgbColor rgb="FF8064A2"/>
      <rgbColor rgb="FF969696"/>
      <rgbColor rgb="FF1F3864"/>
      <rgbColor rgb="FF2E8B57"/>
      <rgbColor rgb="FF003300"/>
      <rgbColor rgb="FF375623"/>
      <rgbColor rgb="FF993300"/>
      <rgbColor rgb="FF993366"/>
      <rgbColor rgb="FF59595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percentStacked"/>
        <c:varyColors val="0"/>
        <c:ser>
          <c:idx val="0"/>
          <c:order val="0"/>
          <c:tx>
            <c:strRef>
              <c:f>Dashboard!$A$21</c:f>
              <c:strCache>
                <c:ptCount val="1"/>
                <c:pt idx="0">
                  <c:v>Current Ratio (x)</c:v>
                </c:pt>
              </c:strCache>
            </c:strRef>
          </c:tx>
          <c:spPr>
            <a:solidFill>
              <a:srgbClr val="4f81bd"/>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multiLvlStrRef>
              <c:f>Dashboard!$B$1:$I$20</c:f>
              <c:multiLvlStrCache>
                <c:ptCount val="8"/>
                <c:lvl>
                  <c:pt idx="0">
                    <c:v>7.3%</c:v>
                  </c:pt>
                  <c:pt idx="1">
                    <c:v>10.0%</c:v>
                  </c:pt>
                  <c:pt idx="2">
                    <c:v>9.3%</c:v>
                  </c:pt>
                  <c:pt idx="3">
                    <c:v>6.0%</c:v>
                  </c:pt>
                  <c:pt idx="4">
                    <c:v>10.2%</c:v>
                  </c:pt>
                  <c:pt idx="5">
                    <c:v>14.9%</c:v>
                  </c:pt>
                  <c:pt idx="6">
                    <c:v>15.4%</c:v>
                  </c:pt>
                  <c:pt idx="7">
                    <c:v>16.4%</c:v>
                  </c:pt>
                </c:lvl>
                <c:lvl>
                  <c:pt idx="0">
                    <c:v>FY2020</c:v>
                  </c:pt>
                  <c:pt idx="1">
                    <c:v>FY2021</c:v>
                  </c:pt>
                  <c:pt idx="2">
                    <c:v>FY2022</c:v>
                  </c:pt>
                  <c:pt idx="3">
                    <c:v>FY2023</c:v>
                  </c:pt>
                  <c:pt idx="4">
                    <c:v>FY2024</c:v>
                  </c:pt>
                  <c:pt idx="5">
                    <c:v>FY2025E</c:v>
                  </c:pt>
                  <c:pt idx="6">
                    <c:v>FY2026E</c:v>
                  </c:pt>
                  <c:pt idx="7">
                    <c:v>FY2027E</c:v>
                  </c:pt>
                </c:lvl>
                <c:lvl/>
                <c:lvl/>
                <c:lvl>
                  <c:pt idx="0">
                    <c:v>2.1%</c:v>
                  </c:pt>
                  <c:pt idx="1">
                    <c:v>2.2%</c:v>
                  </c:pt>
                  <c:pt idx="2">
                    <c:v>2.4%</c:v>
                  </c:pt>
                  <c:pt idx="3">
                    <c:v>1.1%</c:v>
                  </c:pt>
                  <c:pt idx="4">
                    <c:v>1.7%</c:v>
                  </c:pt>
                  <c:pt idx="5">
                    <c:v>2.5%</c:v>
                  </c:pt>
                  <c:pt idx="6">
                    <c:v>2.6%</c:v>
                  </c:pt>
                  <c:pt idx="7">
                    <c:v>2.6%</c:v>
                  </c:pt>
                </c:lvl>
                <c:lvl>
                  <c:pt idx="0">
                    <c:v>7.4%</c:v>
                  </c:pt>
                  <c:pt idx="1">
                    <c:v>7.6%</c:v>
                  </c:pt>
                  <c:pt idx="2">
                    <c:v>7.0%</c:v>
                  </c:pt>
                  <c:pt idx="3">
                    <c:v>4.8%</c:v>
                  </c:pt>
                  <c:pt idx="4">
                    <c:v>6.7%</c:v>
                  </c:pt>
                  <c:pt idx="5">
                    <c:v>6.6%</c:v>
                  </c:pt>
                  <c:pt idx="6">
                    <c:v>6.6%</c:v>
                  </c:pt>
                  <c:pt idx="7">
                    <c:v>6.7%</c:v>
                  </c:pt>
                </c:lvl>
                <c:lvl>
                  <c:pt idx="0">
                    <c:v>7.7%</c:v>
                  </c:pt>
                  <c:pt idx="1">
                    <c:v>7.6%</c:v>
                  </c:pt>
                  <c:pt idx="2">
                    <c:v>7.5%</c:v>
                  </c:pt>
                  <c:pt idx="3">
                    <c:v>5.1%</c:v>
                  </c:pt>
                  <c:pt idx="4">
                    <c:v>7.1%</c:v>
                  </c:pt>
                  <c:pt idx="5">
                    <c:v>7.1%</c:v>
                  </c:pt>
                  <c:pt idx="6">
                    <c:v>7.1%</c:v>
                  </c:pt>
                  <c:pt idx="7">
                    <c:v>7.2%</c:v>
                  </c:pt>
                </c:lvl>
                <c:lvl>
                  <c:pt idx="0">
                    <c:v>1,298</c:v>
                  </c:pt>
                  <c:pt idx="1">
                    <c:v>(775)</c:v>
                  </c:pt>
                  <c:pt idx="2">
                    <c:v>2,808</c:v>
                  </c:pt>
                  <c:pt idx="3">
                    <c:v>2,751</c:v>
                  </c:pt>
                  <c:pt idx="4">
                    <c:v>2,731</c:v>
                  </c:pt>
                  <c:pt idx="5">
                    <c:v>1,372</c:v>
                  </c:pt>
                  <c:pt idx="6">
                    <c:v>1,403</c:v>
                  </c:pt>
                  <c:pt idx="7">
                    <c:v>1,489</c:v>
                  </c:pt>
                </c:lvl>
                <c:lvl>
                  <c:pt idx="0">
                    <c:v>1,210</c:v>
                  </c:pt>
                  <c:pt idx="1">
                    <c:v>1,165</c:v>
                  </c:pt>
                  <c:pt idx="2">
                    <c:v>1,481</c:v>
                  </c:pt>
                  <c:pt idx="3">
                    <c:v>737</c:v>
                  </c:pt>
                  <c:pt idx="4">
                    <c:v>1,188</c:v>
                  </c:pt>
                  <c:pt idx="5">
                    <c:v>1,771</c:v>
                  </c:pt>
                  <c:pt idx="6">
                    <c:v>1,821</c:v>
                  </c:pt>
                  <c:pt idx="7">
                    <c:v>1,927</c:v>
                  </c:pt>
                </c:lvl>
                <c:lvl>
                  <c:pt idx="0">
                    <c:v>4,278</c:v>
                  </c:pt>
                  <c:pt idx="1">
                    <c:v>4,050</c:v>
                  </c:pt>
                  <c:pt idx="2">
                    <c:v>4,278</c:v>
                  </c:pt>
                  <c:pt idx="3">
                    <c:v>3,110</c:v>
                  </c:pt>
                  <c:pt idx="4">
                    <c:v>4,544</c:v>
                  </c:pt>
                  <c:pt idx="5">
                    <c:v>4,617</c:v>
                  </c:pt>
                  <c:pt idx="6">
                    <c:v>4,710</c:v>
                  </c:pt>
                  <c:pt idx="7">
                    <c:v>4,877</c:v>
                  </c:pt>
                </c:lvl>
                <c:lvl>
                  <c:pt idx="0">
                    <c:v>4,451</c:v>
                  </c:pt>
                  <c:pt idx="1">
                    <c:v>4,056</c:v>
                  </c:pt>
                  <c:pt idx="2">
                    <c:v>4,594</c:v>
                  </c:pt>
                  <c:pt idx="3">
                    <c:v>3,361</c:v>
                  </c:pt>
                  <c:pt idx="4">
                    <c:v>4,849</c:v>
                  </c:pt>
                  <c:pt idx="5">
                    <c:v>4,967</c:v>
                  </c:pt>
                  <c:pt idx="6">
                    <c:v>5,066</c:v>
                  </c:pt>
                  <c:pt idx="7">
                    <c:v>5,241</c:v>
                  </c:pt>
                </c:lvl>
                <c:lvl>
                  <c:pt idx="0">
                    <c:v>58,091</c:v>
                  </c:pt>
                  <c:pt idx="1">
                    <c:v>53,440</c:v>
                  </c:pt>
                  <c:pt idx="2">
                    <c:v>61,344</c:v>
                  </c:pt>
                  <c:pt idx="3">
                    <c:v>65,322</c:v>
                  </c:pt>
                  <c:pt idx="4">
                    <c:v>68,187</c:v>
                  </c:pt>
                  <c:pt idx="5">
                    <c:v>69,960</c:v>
                  </c:pt>
                  <c:pt idx="6">
                    <c:v>71,359</c:v>
                  </c:pt>
                  <c:pt idx="7">
                    <c:v>72,786</c:v>
                  </c:pt>
                </c:lvl>
                <c:lvl>
                  <c:pt idx="0">
                    <c:v>FY2020</c:v>
                  </c:pt>
                  <c:pt idx="1">
                    <c:v>FY2021</c:v>
                  </c:pt>
                  <c:pt idx="2">
                    <c:v>FY2022</c:v>
                  </c:pt>
                  <c:pt idx="3">
                    <c:v>FY2023</c:v>
                  </c:pt>
                  <c:pt idx="4">
                    <c:v>FY2024</c:v>
                  </c:pt>
                  <c:pt idx="5">
                    <c:v>FY2025E</c:v>
                  </c:pt>
                  <c:pt idx="6">
                    <c:v>FY2026E</c:v>
                  </c:pt>
                  <c:pt idx="7">
                    <c:v>FY2027E</c:v>
                  </c:pt>
                </c:lvl>
                <c:lvl/>
                <c:lvl/>
                <c:lvl>
                  <c:pt idx="0">
                    <c:v>+4.4% YoY</c:v>
                  </c:pt>
                  <c:pt idx="2">
                    <c:v>6.7% margin</c:v>
                  </c:pt>
                  <c:pt idx="4">
                    <c:v>1.7% margin (cont. ops)</c:v>
                  </c:pt>
                  <c:pt idx="6">
                    <c:v>4.0% FCF yield</c:v>
                  </c:pt>
                </c:lvl>
                <c:lvl>
                  <c:pt idx="0">
                    <c:v>£68,187m</c:v>
                  </c:pt>
                  <c:pt idx="2">
                    <c:v>£4,544m</c:v>
                  </c:pt>
                  <c:pt idx="4">
                    <c:v>£1,188m</c:v>
                  </c:pt>
                  <c:pt idx="6">
                    <c:v>£2,731m</c:v>
                  </c:pt>
                </c:lvl>
                <c:lvl>
                  <c:pt idx="0">
                    <c:v>FY2024 Revenue</c:v>
                  </c:pt>
                  <c:pt idx="2">
                    <c:v>FY2024 EBITDA</c:v>
                  </c:pt>
                  <c:pt idx="4">
                    <c:v>FY2024 Net Income</c:v>
                  </c:pt>
                  <c:pt idx="6">
                    <c:v>FY2024 FCF</c:v>
                  </c:pt>
                </c:lvl>
                <c:lvl/>
                <c:lvl/>
              </c:multiLvlStrCache>
            </c:multiLvlStrRef>
          </c:cat>
          <c:val>
            <c:numRef>
              <c:f>Dashboard!$B$21:$I$21</c:f>
              <c:numCache>
                <c:formatCode>0.0\x</c:formatCode>
                <c:ptCount val="8"/>
                <c:pt idx="0">
                  <c:v>0.54</c:v>
                </c:pt>
                <c:pt idx="1">
                  <c:v>0.51</c:v>
                </c:pt>
                <c:pt idx="2">
                  <c:v>0.48</c:v>
                </c:pt>
                <c:pt idx="3">
                  <c:v>0.48</c:v>
                </c:pt>
                <c:pt idx="4">
                  <c:v>0.47</c:v>
                </c:pt>
                <c:pt idx="5">
                  <c:v>0.485124672946137</c:v>
                </c:pt>
                <c:pt idx="6">
                  <c:v>0.486614994914638</c:v>
                </c:pt>
                <c:pt idx="7">
                  <c:v>0.48814983167869</c:v>
                </c:pt>
              </c:numCache>
            </c:numRef>
          </c:val>
        </c:ser>
        <c:ser>
          <c:idx val="1"/>
          <c:order val="1"/>
          <c:tx>
            <c:strRef>
              <c:f>Dashboard!$A$22</c:f>
              <c:strCache>
                <c:ptCount val="1"/>
                <c:pt idx="0">
                  <c:v>Net Debt / EBITDA (x)</c:v>
                </c:pt>
              </c:strCache>
            </c:strRef>
          </c:tx>
          <c:spPr>
            <a:solidFill>
              <a:srgbClr val="c0504d"/>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multiLvlStrRef>
              <c:f>Dashboard!$B$1:$I$20</c:f>
              <c:multiLvlStrCache>
                <c:ptCount val="8"/>
                <c:lvl>
                  <c:pt idx="0">
                    <c:v>7.3%</c:v>
                  </c:pt>
                  <c:pt idx="1">
                    <c:v>10.0%</c:v>
                  </c:pt>
                  <c:pt idx="2">
                    <c:v>9.3%</c:v>
                  </c:pt>
                  <c:pt idx="3">
                    <c:v>6.0%</c:v>
                  </c:pt>
                  <c:pt idx="4">
                    <c:v>10.2%</c:v>
                  </c:pt>
                  <c:pt idx="5">
                    <c:v>14.9%</c:v>
                  </c:pt>
                  <c:pt idx="6">
                    <c:v>15.4%</c:v>
                  </c:pt>
                  <c:pt idx="7">
                    <c:v>16.4%</c:v>
                  </c:pt>
                </c:lvl>
                <c:lvl>
                  <c:pt idx="0">
                    <c:v>FY2020</c:v>
                  </c:pt>
                  <c:pt idx="1">
                    <c:v>FY2021</c:v>
                  </c:pt>
                  <c:pt idx="2">
                    <c:v>FY2022</c:v>
                  </c:pt>
                  <c:pt idx="3">
                    <c:v>FY2023</c:v>
                  </c:pt>
                  <c:pt idx="4">
                    <c:v>FY2024</c:v>
                  </c:pt>
                  <c:pt idx="5">
                    <c:v>FY2025E</c:v>
                  </c:pt>
                  <c:pt idx="6">
                    <c:v>FY2026E</c:v>
                  </c:pt>
                  <c:pt idx="7">
                    <c:v>FY2027E</c:v>
                  </c:pt>
                </c:lvl>
                <c:lvl/>
                <c:lvl/>
                <c:lvl>
                  <c:pt idx="0">
                    <c:v>2.1%</c:v>
                  </c:pt>
                  <c:pt idx="1">
                    <c:v>2.2%</c:v>
                  </c:pt>
                  <c:pt idx="2">
                    <c:v>2.4%</c:v>
                  </c:pt>
                  <c:pt idx="3">
                    <c:v>1.1%</c:v>
                  </c:pt>
                  <c:pt idx="4">
                    <c:v>1.7%</c:v>
                  </c:pt>
                  <c:pt idx="5">
                    <c:v>2.5%</c:v>
                  </c:pt>
                  <c:pt idx="6">
                    <c:v>2.6%</c:v>
                  </c:pt>
                  <c:pt idx="7">
                    <c:v>2.6%</c:v>
                  </c:pt>
                </c:lvl>
                <c:lvl>
                  <c:pt idx="0">
                    <c:v>7.4%</c:v>
                  </c:pt>
                  <c:pt idx="1">
                    <c:v>7.6%</c:v>
                  </c:pt>
                  <c:pt idx="2">
                    <c:v>7.0%</c:v>
                  </c:pt>
                  <c:pt idx="3">
                    <c:v>4.8%</c:v>
                  </c:pt>
                  <c:pt idx="4">
                    <c:v>6.7%</c:v>
                  </c:pt>
                  <c:pt idx="5">
                    <c:v>6.6%</c:v>
                  </c:pt>
                  <c:pt idx="6">
                    <c:v>6.6%</c:v>
                  </c:pt>
                  <c:pt idx="7">
                    <c:v>6.7%</c:v>
                  </c:pt>
                </c:lvl>
                <c:lvl>
                  <c:pt idx="0">
                    <c:v>7.7%</c:v>
                  </c:pt>
                  <c:pt idx="1">
                    <c:v>7.6%</c:v>
                  </c:pt>
                  <c:pt idx="2">
                    <c:v>7.5%</c:v>
                  </c:pt>
                  <c:pt idx="3">
                    <c:v>5.1%</c:v>
                  </c:pt>
                  <c:pt idx="4">
                    <c:v>7.1%</c:v>
                  </c:pt>
                  <c:pt idx="5">
                    <c:v>7.1%</c:v>
                  </c:pt>
                  <c:pt idx="6">
                    <c:v>7.1%</c:v>
                  </c:pt>
                  <c:pt idx="7">
                    <c:v>7.2%</c:v>
                  </c:pt>
                </c:lvl>
                <c:lvl>
                  <c:pt idx="0">
                    <c:v>1,298</c:v>
                  </c:pt>
                  <c:pt idx="1">
                    <c:v>(775)</c:v>
                  </c:pt>
                  <c:pt idx="2">
                    <c:v>2,808</c:v>
                  </c:pt>
                  <c:pt idx="3">
                    <c:v>2,751</c:v>
                  </c:pt>
                  <c:pt idx="4">
                    <c:v>2,731</c:v>
                  </c:pt>
                  <c:pt idx="5">
                    <c:v>1,372</c:v>
                  </c:pt>
                  <c:pt idx="6">
                    <c:v>1,403</c:v>
                  </c:pt>
                  <c:pt idx="7">
                    <c:v>1,489</c:v>
                  </c:pt>
                </c:lvl>
                <c:lvl>
                  <c:pt idx="0">
                    <c:v>1,210</c:v>
                  </c:pt>
                  <c:pt idx="1">
                    <c:v>1,165</c:v>
                  </c:pt>
                  <c:pt idx="2">
                    <c:v>1,481</c:v>
                  </c:pt>
                  <c:pt idx="3">
                    <c:v>737</c:v>
                  </c:pt>
                  <c:pt idx="4">
                    <c:v>1,188</c:v>
                  </c:pt>
                  <c:pt idx="5">
                    <c:v>1,771</c:v>
                  </c:pt>
                  <c:pt idx="6">
                    <c:v>1,821</c:v>
                  </c:pt>
                  <c:pt idx="7">
                    <c:v>1,927</c:v>
                  </c:pt>
                </c:lvl>
                <c:lvl>
                  <c:pt idx="0">
                    <c:v>4,278</c:v>
                  </c:pt>
                  <c:pt idx="1">
                    <c:v>4,050</c:v>
                  </c:pt>
                  <c:pt idx="2">
                    <c:v>4,278</c:v>
                  </c:pt>
                  <c:pt idx="3">
                    <c:v>3,110</c:v>
                  </c:pt>
                  <c:pt idx="4">
                    <c:v>4,544</c:v>
                  </c:pt>
                  <c:pt idx="5">
                    <c:v>4,617</c:v>
                  </c:pt>
                  <c:pt idx="6">
                    <c:v>4,710</c:v>
                  </c:pt>
                  <c:pt idx="7">
                    <c:v>4,877</c:v>
                  </c:pt>
                </c:lvl>
                <c:lvl>
                  <c:pt idx="0">
                    <c:v>4,451</c:v>
                  </c:pt>
                  <c:pt idx="1">
                    <c:v>4,056</c:v>
                  </c:pt>
                  <c:pt idx="2">
                    <c:v>4,594</c:v>
                  </c:pt>
                  <c:pt idx="3">
                    <c:v>3,361</c:v>
                  </c:pt>
                  <c:pt idx="4">
                    <c:v>4,849</c:v>
                  </c:pt>
                  <c:pt idx="5">
                    <c:v>4,967</c:v>
                  </c:pt>
                  <c:pt idx="6">
                    <c:v>5,066</c:v>
                  </c:pt>
                  <c:pt idx="7">
                    <c:v>5,241</c:v>
                  </c:pt>
                </c:lvl>
                <c:lvl>
                  <c:pt idx="0">
                    <c:v>58,091</c:v>
                  </c:pt>
                  <c:pt idx="1">
                    <c:v>53,440</c:v>
                  </c:pt>
                  <c:pt idx="2">
                    <c:v>61,344</c:v>
                  </c:pt>
                  <c:pt idx="3">
                    <c:v>65,322</c:v>
                  </c:pt>
                  <c:pt idx="4">
                    <c:v>68,187</c:v>
                  </c:pt>
                  <c:pt idx="5">
                    <c:v>69,960</c:v>
                  </c:pt>
                  <c:pt idx="6">
                    <c:v>71,359</c:v>
                  </c:pt>
                  <c:pt idx="7">
                    <c:v>72,786</c:v>
                  </c:pt>
                </c:lvl>
                <c:lvl>
                  <c:pt idx="0">
                    <c:v>FY2020</c:v>
                  </c:pt>
                  <c:pt idx="1">
                    <c:v>FY2021</c:v>
                  </c:pt>
                  <c:pt idx="2">
                    <c:v>FY2022</c:v>
                  </c:pt>
                  <c:pt idx="3">
                    <c:v>FY2023</c:v>
                  </c:pt>
                  <c:pt idx="4">
                    <c:v>FY2024</c:v>
                  </c:pt>
                  <c:pt idx="5">
                    <c:v>FY2025E</c:v>
                  </c:pt>
                  <c:pt idx="6">
                    <c:v>FY2026E</c:v>
                  </c:pt>
                  <c:pt idx="7">
                    <c:v>FY2027E</c:v>
                  </c:pt>
                </c:lvl>
                <c:lvl/>
                <c:lvl/>
                <c:lvl>
                  <c:pt idx="0">
                    <c:v>+4.4% YoY</c:v>
                  </c:pt>
                  <c:pt idx="2">
                    <c:v>6.7% margin</c:v>
                  </c:pt>
                  <c:pt idx="4">
                    <c:v>1.7% margin (cont. ops)</c:v>
                  </c:pt>
                  <c:pt idx="6">
                    <c:v>4.0% FCF yield</c:v>
                  </c:pt>
                </c:lvl>
                <c:lvl>
                  <c:pt idx="0">
                    <c:v>£68,187m</c:v>
                  </c:pt>
                  <c:pt idx="2">
                    <c:v>£4,544m</c:v>
                  </c:pt>
                  <c:pt idx="4">
                    <c:v>£1,188m</c:v>
                  </c:pt>
                  <c:pt idx="6">
                    <c:v>£2,731m</c:v>
                  </c:pt>
                </c:lvl>
                <c:lvl>
                  <c:pt idx="0">
                    <c:v>FY2024 Revenue</c:v>
                  </c:pt>
                  <c:pt idx="2">
                    <c:v>FY2024 EBITDA</c:v>
                  </c:pt>
                  <c:pt idx="4">
                    <c:v>FY2024 Net Income</c:v>
                  </c:pt>
                  <c:pt idx="6">
                    <c:v>FY2024 FCF</c:v>
                  </c:pt>
                </c:lvl>
                <c:lvl/>
                <c:lvl/>
              </c:multiLvlStrCache>
            </c:multiLvlStrRef>
          </c:cat>
          <c:val>
            <c:numRef>
              <c:f>Dashboard!$B$22:$I$22</c:f>
              <c:numCache>
                <c:formatCode>0.0\x</c:formatCode>
                <c:ptCount val="8"/>
                <c:pt idx="0">
                  <c:v>2.4</c:v>
                </c:pt>
                <c:pt idx="1">
                  <c:v>2.2</c:v>
                </c:pt>
                <c:pt idx="2">
                  <c:v>2.3</c:v>
                </c:pt>
                <c:pt idx="3">
                  <c:v>2.9</c:v>
                </c:pt>
                <c:pt idx="4">
                  <c:v>2</c:v>
                </c:pt>
                <c:pt idx="5">
                  <c:v>1.849051588172</c:v>
                </c:pt>
                <c:pt idx="6">
                  <c:v>1.74585295222881</c:v>
                </c:pt>
                <c:pt idx="7">
                  <c:v>1.62142340013793</c:v>
                </c:pt>
              </c:numCache>
            </c:numRef>
          </c:val>
        </c:ser>
        <c:ser>
          <c:idx val="2"/>
          <c:order val="2"/>
          <c:tx>
            <c:strRef>
              <c:f>Dashboard!$A$23</c:f>
              <c:strCache>
                <c:ptCount val="1"/>
                <c:pt idx="0">
                  <c:v>Interest Coverage (x)</c:v>
                </c:pt>
              </c:strCache>
            </c:strRef>
          </c:tx>
          <c:spPr>
            <a:solidFill>
              <a:srgbClr val="9bbb59"/>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multiLvlStrRef>
              <c:f>Dashboard!$B$1:$I$20</c:f>
              <c:multiLvlStrCache>
                <c:ptCount val="8"/>
                <c:lvl>
                  <c:pt idx="0">
                    <c:v>7.3%</c:v>
                  </c:pt>
                  <c:pt idx="1">
                    <c:v>10.0%</c:v>
                  </c:pt>
                  <c:pt idx="2">
                    <c:v>9.3%</c:v>
                  </c:pt>
                  <c:pt idx="3">
                    <c:v>6.0%</c:v>
                  </c:pt>
                  <c:pt idx="4">
                    <c:v>10.2%</c:v>
                  </c:pt>
                  <c:pt idx="5">
                    <c:v>14.9%</c:v>
                  </c:pt>
                  <c:pt idx="6">
                    <c:v>15.4%</c:v>
                  </c:pt>
                  <c:pt idx="7">
                    <c:v>16.4%</c:v>
                  </c:pt>
                </c:lvl>
                <c:lvl>
                  <c:pt idx="0">
                    <c:v>FY2020</c:v>
                  </c:pt>
                  <c:pt idx="1">
                    <c:v>FY2021</c:v>
                  </c:pt>
                  <c:pt idx="2">
                    <c:v>FY2022</c:v>
                  </c:pt>
                  <c:pt idx="3">
                    <c:v>FY2023</c:v>
                  </c:pt>
                  <c:pt idx="4">
                    <c:v>FY2024</c:v>
                  </c:pt>
                  <c:pt idx="5">
                    <c:v>FY2025E</c:v>
                  </c:pt>
                  <c:pt idx="6">
                    <c:v>FY2026E</c:v>
                  </c:pt>
                  <c:pt idx="7">
                    <c:v>FY2027E</c:v>
                  </c:pt>
                </c:lvl>
                <c:lvl/>
                <c:lvl/>
                <c:lvl>
                  <c:pt idx="0">
                    <c:v>2.1%</c:v>
                  </c:pt>
                  <c:pt idx="1">
                    <c:v>2.2%</c:v>
                  </c:pt>
                  <c:pt idx="2">
                    <c:v>2.4%</c:v>
                  </c:pt>
                  <c:pt idx="3">
                    <c:v>1.1%</c:v>
                  </c:pt>
                  <c:pt idx="4">
                    <c:v>1.7%</c:v>
                  </c:pt>
                  <c:pt idx="5">
                    <c:v>2.5%</c:v>
                  </c:pt>
                  <c:pt idx="6">
                    <c:v>2.6%</c:v>
                  </c:pt>
                  <c:pt idx="7">
                    <c:v>2.6%</c:v>
                  </c:pt>
                </c:lvl>
                <c:lvl>
                  <c:pt idx="0">
                    <c:v>7.4%</c:v>
                  </c:pt>
                  <c:pt idx="1">
                    <c:v>7.6%</c:v>
                  </c:pt>
                  <c:pt idx="2">
                    <c:v>7.0%</c:v>
                  </c:pt>
                  <c:pt idx="3">
                    <c:v>4.8%</c:v>
                  </c:pt>
                  <c:pt idx="4">
                    <c:v>6.7%</c:v>
                  </c:pt>
                  <c:pt idx="5">
                    <c:v>6.6%</c:v>
                  </c:pt>
                  <c:pt idx="6">
                    <c:v>6.6%</c:v>
                  </c:pt>
                  <c:pt idx="7">
                    <c:v>6.7%</c:v>
                  </c:pt>
                </c:lvl>
                <c:lvl>
                  <c:pt idx="0">
                    <c:v>7.7%</c:v>
                  </c:pt>
                  <c:pt idx="1">
                    <c:v>7.6%</c:v>
                  </c:pt>
                  <c:pt idx="2">
                    <c:v>7.5%</c:v>
                  </c:pt>
                  <c:pt idx="3">
                    <c:v>5.1%</c:v>
                  </c:pt>
                  <c:pt idx="4">
                    <c:v>7.1%</c:v>
                  </c:pt>
                  <c:pt idx="5">
                    <c:v>7.1%</c:v>
                  </c:pt>
                  <c:pt idx="6">
                    <c:v>7.1%</c:v>
                  </c:pt>
                  <c:pt idx="7">
                    <c:v>7.2%</c:v>
                  </c:pt>
                </c:lvl>
                <c:lvl>
                  <c:pt idx="0">
                    <c:v>1,298</c:v>
                  </c:pt>
                  <c:pt idx="1">
                    <c:v>(775)</c:v>
                  </c:pt>
                  <c:pt idx="2">
                    <c:v>2,808</c:v>
                  </c:pt>
                  <c:pt idx="3">
                    <c:v>2,751</c:v>
                  </c:pt>
                  <c:pt idx="4">
                    <c:v>2,731</c:v>
                  </c:pt>
                  <c:pt idx="5">
                    <c:v>1,372</c:v>
                  </c:pt>
                  <c:pt idx="6">
                    <c:v>1,403</c:v>
                  </c:pt>
                  <c:pt idx="7">
                    <c:v>1,489</c:v>
                  </c:pt>
                </c:lvl>
                <c:lvl>
                  <c:pt idx="0">
                    <c:v>1,210</c:v>
                  </c:pt>
                  <c:pt idx="1">
                    <c:v>1,165</c:v>
                  </c:pt>
                  <c:pt idx="2">
                    <c:v>1,481</c:v>
                  </c:pt>
                  <c:pt idx="3">
                    <c:v>737</c:v>
                  </c:pt>
                  <c:pt idx="4">
                    <c:v>1,188</c:v>
                  </c:pt>
                  <c:pt idx="5">
                    <c:v>1,771</c:v>
                  </c:pt>
                  <c:pt idx="6">
                    <c:v>1,821</c:v>
                  </c:pt>
                  <c:pt idx="7">
                    <c:v>1,927</c:v>
                  </c:pt>
                </c:lvl>
                <c:lvl>
                  <c:pt idx="0">
                    <c:v>4,278</c:v>
                  </c:pt>
                  <c:pt idx="1">
                    <c:v>4,050</c:v>
                  </c:pt>
                  <c:pt idx="2">
                    <c:v>4,278</c:v>
                  </c:pt>
                  <c:pt idx="3">
                    <c:v>3,110</c:v>
                  </c:pt>
                  <c:pt idx="4">
                    <c:v>4,544</c:v>
                  </c:pt>
                  <c:pt idx="5">
                    <c:v>4,617</c:v>
                  </c:pt>
                  <c:pt idx="6">
                    <c:v>4,710</c:v>
                  </c:pt>
                  <c:pt idx="7">
                    <c:v>4,877</c:v>
                  </c:pt>
                </c:lvl>
                <c:lvl>
                  <c:pt idx="0">
                    <c:v>4,451</c:v>
                  </c:pt>
                  <c:pt idx="1">
                    <c:v>4,056</c:v>
                  </c:pt>
                  <c:pt idx="2">
                    <c:v>4,594</c:v>
                  </c:pt>
                  <c:pt idx="3">
                    <c:v>3,361</c:v>
                  </c:pt>
                  <c:pt idx="4">
                    <c:v>4,849</c:v>
                  </c:pt>
                  <c:pt idx="5">
                    <c:v>4,967</c:v>
                  </c:pt>
                  <c:pt idx="6">
                    <c:v>5,066</c:v>
                  </c:pt>
                  <c:pt idx="7">
                    <c:v>5,241</c:v>
                  </c:pt>
                </c:lvl>
                <c:lvl>
                  <c:pt idx="0">
                    <c:v>58,091</c:v>
                  </c:pt>
                  <c:pt idx="1">
                    <c:v>53,440</c:v>
                  </c:pt>
                  <c:pt idx="2">
                    <c:v>61,344</c:v>
                  </c:pt>
                  <c:pt idx="3">
                    <c:v>65,322</c:v>
                  </c:pt>
                  <c:pt idx="4">
                    <c:v>68,187</c:v>
                  </c:pt>
                  <c:pt idx="5">
                    <c:v>69,960</c:v>
                  </c:pt>
                  <c:pt idx="6">
                    <c:v>71,359</c:v>
                  </c:pt>
                  <c:pt idx="7">
                    <c:v>72,786</c:v>
                  </c:pt>
                </c:lvl>
                <c:lvl>
                  <c:pt idx="0">
                    <c:v>FY2020</c:v>
                  </c:pt>
                  <c:pt idx="1">
                    <c:v>FY2021</c:v>
                  </c:pt>
                  <c:pt idx="2">
                    <c:v>FY2022</c:v>
                  </c:pt>
                  <c:pt idx="3">
                    <c:v>FY2023</c:v>
                  </c:pt>
                  <c:pt idx="4">
                    <c:v>FY2024</c:v>
                  </c:pt>
                  <c:pt idx="5">
                    <c:v>FY2025E</c:v>
                  </c:pt>
                  <c:pt idx="6">
                    <c:v>FY2026E</c:v>
                  </c:pt>
                  <c:pt idx="7">
                    <c:v>FY2027E</c:v>
                  </c:pt>
                </c:lvl>
                <c:lvl/>
                <c:lvl/>
                <c:lvl>
                  <c:pt idx="0">
                    <c:v>+4.4% YoY</c:v>
                  </c:pt>
                  <c:pt idx="2">
                    <c:v>6.7% margin</c:v>
                  </c:pt>
                  <c:pt idx="4">
                    <c:v>1.7% margin (cont. ops)</c:v>
                  </c:pt>
                  <c:pt idx="6">
                    <c:v>4.0% FCF yield</c:v>
                  </c:pt>
                </c:lvl>
                <c:lvl>
                  <c:pt idx="0">
                    <c:v>£68,187m</c:v>
                  </c:pt>
                  <c:pt idx="2">
                    <c:v>£4,544m</c:v>
                  </c:pt>
                  <c:pt idx="4">
                    <c:v>£1,188m</c:v>
                  </c:pt>
                  <c:pt idx="6">
                    <c:v>£2,731m</c:v>
                  </c:pt>
                </c:lvl>
                <c:lvl>
                  <c:pt idx="0">
                    <c:v>FY2024 Revenue</c:v>
                  </c:pt>
                  <c:pt idx="2">
                    <c:v>FY2024 EBITDA</c:v>
                  </c:pt>
                  <c:pt idx="4">
                    <c:v>FY2024 Net Income</c:v>
                  </c:pt>
                  <c:pt idx="6">
                    <c:v>FY2024 FCF</c:v>
                  </c:pt>
                </c:lvl>
                <c:lvl/>
                <c:lvl/>
              </c:multiLvlStrCache>
            </c:multiLvlStrRef>
          </c:cat>
          <c:val>
            <c:numRef>
              <c:f>Dashboard!$B$23:$I$23</c:f>
              <c:numCache>
                <c:formatCode>0.0\x</c:formatCode>
                <c:ptCount val="8"/>
                <c:pt idx="0">
                  <c:v>3.8</c:v>
                </c:pt>
                <c:pt idx="1">
                  <c:v>3.9</c:v>
                </c:pt>
                <c:pt idx="2">
                  <c:v>4.6</c:v>
                </c:pt>
                <c:pt idx="3">
                  <c:v>2.3</c:v>
                </c:pt>
                <c:pt idx="4">
                  <c:v>3.5</c:v>
                </c:pt>
                <c:pt idx="5">
                  <c:v>3.66753277468355</c:v>
                </c:pt>
                <c:pt idx="6">
                  <c:v>3.79448449979487</c:v>
                </c:pt>
                <c:pt idx="7">
                  <c:v>4.02165988111896</c:v>
                </c:pt>
              </c:numCache>
            </c:numRef>
          </c:val>
        </c:ser>
        <c:ser>
          <c:idx val="3"/>
          <c:order val="3"/>
          <c:tx>
            <c:strRef>
              <c:f>Dashboard!$A$24</c:f>
              <c:strCache>
                <c:ptCount val="1"/>
                <c:pt idx="0">
                  <c:v/>
                </c:pt>
              </c:strCache>
            </c:strRef>
          </c:tx>
          <c:spPr>
            <a:solidFill>
              <a:srgbClr val="8064a2"/>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multiLvlStrRef>
              <c:f>Dashboard!$B$1:$I$20</c:f>
              <c:multiLvlStrCache>
                <c:ptCount val="8"/>
                <c:lvl>
                  <c:pt idx="0">
                    <c:v>7.3%</c:v>
                  </c:pt>
                  <c:pt idx="1">
                    <c:v>10.0%</c:v>
                  </c:pt>
                  <c:pt idx="2">
                    <c:v>9.3%</c:v>
                  </c:pt>
                  <c:pt idx="3">
                    <c:v>6.0%</c:v>
                  </c:pt>
                  <c:pt idx="4">
                    <c:v>10.2%</c:v>
                  </c:pt>
                  <c:pt idx="5">
                    <c:v>14.9%</c:v>
                  </c:pt>
                  <c:pt idx="6">
                    <c:v>15.4%</c:v>
                  </c:pt>
                  <c:pt idx="7">
                    <c:v>16.4%</c:v>
                  </c:pt>
                </c:lvl>
                <c:lvl>
                  <c:pt idx="0">
                    <c:v>FY2020</c:v>
                  </c:pt>
                  <c:pt idx="1">
                    <c:v>FY2021</c:v>
                  </c:pt>
                  <c:pt idx="2">
                    <c:v>FY2022</c:v>
                  </c:pt>
                  <c:pt idx="3">
                    <c:v>FY2023</c:v>
                  </c:pt>
                  <c:pt idx="4">
                    <c:v>FY2024</c:v>
                  </c:pt>
                  <c:pt idx="5">
                    <c:v>FY2025E</c:v>
                  </c:pt>
                  <c:pt idx="6">
                    <c:v>FY2026E</c:v>
                  </c:pt>
                  <c:pt idx="7">
                    <c:v>FY2027E</c:v>
                  </c:pt>
                </c:lvl>
                <c:lvl/>
                <c:lvl/>
                <c:lvl>
                  <c:pt idx="0">
                    <c:v>2.1%</c:v>
                  </c:pt>
                  <c:pt idx="1">
                    <c:v>2.2%</c:v>
                  </c:pt>
                  <c:pt idx="2">
                    <c:v>2.4%</c:v>
                  </c:pt>
                  <c:pt idx="3">
                    <c:v>1.1%</c:v>
                  </c:pt>
                  <c:pt idx="4">
                    <c:v>1.7%</c:v>
                  </c:pt>
                  <c:pt idx="5">
                    <c:v>2.5%</c:v>
                  </c:pt>
                  <c:pt idx="6">
                    <c:v>2.6%</c:v>
                  </c:pt>
                  <c:pt idx="7">
                    <c:v>2.6%</c:v>
                  </c:pt>
                </c:lvl>
                <c:lvl>
                  <c:pt idx="0">
                    <c:v>7.4%</c:v>
                  </c:pt>
                  <c:pt idx="1">
                    <c:v>7.6%</c:v>
                  </c:pt>
                  <c:pt idx="2">
                    <c:v>7.0%</c:v>
                  </c:pt>
                  <c:pt idx="3">
                    <c:v>4.8%</c:v>
                  </c:pt>
                  <c:pt idx="4">
                    <c:v>6.7%</c:v>
                  </c:pt>
                  <c:pt idx="5">
                    <c:v>6.6%</c:v>
                  </c:pt>
                  <c:pt idx="6">
                    <c:v>6.6%</c:v>
                  </c:pt>
                  <c:pt idx="7">
                    <c:v>6.7%</c:v>
                  </c:pt>
                </c:lvl>
                <c:lvl>
                  <c:pt idx="0">
                    <c:v>7.7%</c:v>
                  </c:pt>
                  <c:pt idx="1">
                    <c:v>7.6%</c:v>
                  </c:pt>
                  <c:pt idx="2">
                    <c:v>7.5%</c:v>
                  </c:pt>
                  <c:pt idx="3">
                    <c:v>5.1%</c:v>
                  </c:pt>
                  <c:pt idx="4">
                    <c:v>7.1%</c:v>
                  </c:pt>
                  <c:pt idx="5">
                    <c:v>7.1%</c:v>
                  </c:pt>
                  <c:pt idx="6">
                    <c:v>7.1%</c:v>
                  </c:pt>
                  <c:pt idx="7">
                    <c:v>7.2%</c:v>
                  </c:pt>
                </c:lvl>
                <c:lvl>
                  <c:pt idx="0">
                    <c:v>1,298</c:v>
                  </c:pt>
                  <c:pt idx="1">
                    <c:v>(775)</c:v>
                  </c:pt>
                  <c:pt idx="2">
                    <c:v>2,808</c:v>
                  </c:pt>
                  <c:pt idx="3">
                    <c:v>2,751</c:v>
                  </c:pt>
                  <c:pt idx="4">
                    <c:v>2,731</c:v>
                  </c:pt>
                  <c:pt idx="5">
                    <c:v>1,372</c:v>
                  </c:pt>
                  <c:pt idx="6">
                    <c:v>1,403</c:v>
                  </c:pt>
                  <c:pt idx="7">
                    <c:v>1,489</c:v>
                  </c:pt>
                </c:lvl>
                <c:lvl>
                  <c:pt idx="0">
                    <c:v>1,210</c:v>
                  </c:pt>
                  <c:pt idx="1">
                    <c:v>1,165</c:v>
                  </c:pt>
                  <c:pt idx="2">
                    <c:v>1,481</c:v>
                  </c:pt>
                  <c:pt idx="3">
                    <c:v>737</c:v>
                  </c:pt>
                  <c:pt idx="4">
                    <c:v>1,188</c:v>
                  </c:pt>
                  <c:pt idx="5">
                    <c:v>1,771</c:v>
                  </c:pt>
                  <c:pt idx="6">
                    <c:v>1,821</c:v>
                  </c:pt>
                  <c:pt idx="7">
                    <c:v>1,927</c:v>
                  </c:pt>
                </c:lvl>
                <c:lvl>
                  <c:pt idx="0">
                    <c:v>4,278</c:v>
                  </c:pt>
                  <c:pt idx="1">
                    <c:v>4,050</c:v>
                  </c:pt>
                  <c:pt idx="2">
                    <c:v>4,278</c:v>
                  </c:pt>
                  <c:pt idx="3">
                    <c:v>3,110</c:v>
                  </c:pt>
                  <c:pt idx="4">
                    <c:v>4,544</c:v>
                  </c:pt>
                  <c:pt idx="5">
                    <c:v>4,617</c:v>
                  </c:pt>
                  <c:pt idx="6">
                    <c:v>4,710</c:v>
                  </c:pt>
                  <c:pt idx="7">
                    <c:v>4,877</c:v>
                  </c:pt>
                </c:lvl>
                <c:lvl>
                  <c:pt idx="0">
                    <c:v>4,451</c:v>
                  </c:pt>
                  <c:pt idx="1">
                    <c:v>4,056</c:v>
                  </c:pt>
                  <c:pt idx="2">
                    <c:v>4,594</c:v>
                  </c:pt>
                  <c:pt idx="3">
                    <c:v>3,361</c:v>
                  </c:pt>
                  <c:pt idx="4">
                    <c:v>4,849</c:v>
                  </c:pt>
                  <c:pt idx="5">
                    <c:v>4,967</c:v>
                  </c:pt>
                  <c:pt idx="6">
                    <c:v>5,066</c:v>
                  </c:pt>
                  <c:pt idx="7">
                    <c:v>5,241</c:v>
                  </c:pt>
                </c:lvl>
                <c:lvl>
                  <c:pt idx="0">
                    <c:v>58,091</c:v>
                  </c:pt>
                  <c:pt idx="1">
                    <c:v>53,440</c:v>
                  </c:pt>
                  <c:pt idx="2">
                    <c:v>61,344</c:v>
                  </c:pt>
                  <c:pt idx="3">
                    <c:v>65,322</c:v>
                  </c:pt>
                  <c:pt idx="4">
                    <c:v>68,187</c:v>
                  </c:pt>
                  <c:pt idx="5">
                    <c:v>69,960</c:v>
                  </c:pt>
                  <c:pt idx="6">
                    <c:v>71,359</c:v>
                  </c:pt>
                  <c:pt idx="7">
                    <c:v>72,786</c:v>
                  </c:pt>
                </c:lvl>
                <c:lvl>
                  <c:pt idx="0">
                    <c:v>FY2020</c:v>
                  </c:pt>
                  <c:pt idx="1">
                    <c:v>FY2021</c:v>
                  </c:pt>
                  <c:pt idx="2">
                    <c:v>FY2022</c:v>
                  </c:pt>
                  <c:pt idx="3">
                    <c:v>FY2023</c:v>
                  </c:pt>
                  <c:pt idx="4">
                    <c:v>FY2024</c:v>
                  </c:pt>
                  <c:pt idx="5">
                    <c:v>FY2025E</c:v>
                  </c:pt>
                  <c:pt idx="6">
                    <c:v>FY2026E</c:v>
                  </c:pt>
                  <c:pt idx="7">
                    <c:v>FY2027E</c:v>
                  </c:pt>
                </c:lvl>
                <c:lvl/>
                <c:lvl/>
                <c:lvl>
                  <c:pt idx="0">
                    <c:v>+4.4% YoY</c:v>
                  </c:pt>
                  <c:pt idx="2">
                    <c:v>6.7% margin</c:v>
                  </c:pt>
                  <c:pt idx="4">
                    <c:v>1.7% margin (cont. ops)</c:v>
                  </c:pt>
                  <c:pt idx="6">
                    <c:v>4.0% FCF yield</c:v>
                  </c:pt>
                </c:lvl>
                <c:lvl>
                  <c:pt idx="0">
                    <c:v>£68,187m</c:v>
                  </c:pt>
                  <c:pt idx="2">
                    <c:v>£4,544m</c:v>
                  </c:pt>
                  <c:pt idx="4">
                    <c:v>£1,188m</c:v>
                  </c:pt>
                  <c:pt idx="6">
                    <c:v>£2,731m</c:v>
                  </c:pt>
                </c:lvl>
                <c:lvl>
                  <c:pt idx="0">
                    <c:v>FY2024 Revenue</c:v>
                  </c:pt>
                  <c:pt idx="2">
                    <c:v>FY2024 EBITDA</c:v>
                  </c:pt>
                  <c:pt idx="4">
                    <c:v>FY2024 Net Income</c:v>
                  </c:pt>
                  <c:pt idx="6">
                    <c:v>FY2024 FCF</c:v>
                  </c:pt>
                </c:lvl>
                <c:lvl/>
                <c:lvl/>
              </c:multiLvlStrCache>
            </c:multiLvlStrRef>
          </c:cat>
          <c:val>
            <c:numRef>
              <c:f>Dashboard!$B$24:$I$24</c:f>
              <c:numCache>
                <c:formatCode>General</c:formatCode>
                <c:ptCount val="8"/>
              </c:numCache>
            </c:numRef>
          </c:val>
        </c:ser>
        <c:ser>
          <c:idx val="4"/>
          <c:order val="4"/>
          <c:tx>
            <c:strRef>
              <c:f>Dashboard!$A$25</c:f>
              <c:strCache>
                <c:ptCount val="1"/>
                <c:pt idx="0">
                  <c:v/>
                </c:pt>
              </c:strCache>
            </c:strRef>
          </c:tx>
          <c:spPr>
            <a:solidFill>
              <a:srgbClr val="4bacc6"/>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multiLvlStrRef>
              <c:f>Dashboard!$B$1:$I$20</c:f>
              <c:multiLvlStrCache>
                <c:ptCount val="8"/>
                <c:lvl>
                  <c:pt idx="0">
                    <c:v>7.3%</c:v>
                  </c:pt>
                  <c:pt idx="1">
                    <c:v>10.0%</c:v>
                  </c:pt>
                  <c:pt idx="2">
                    <c:v>9.3%</c:v>
                  </c:pt>
                  <c:pt idx="3">
                    <c:v>6.0%</c:v>
                  </c:pt>
                  <c:pt idx="4">
                    <c:v>10.2%</c:v>
                  </c:pt>
                  <c:pt idx="5">
                    <c:v>14.9%</c:v>
                  </c:pt>
                  <c:pt idx="6">
                    <c:v>15.4%</c:v>
                  </c:pt>
                  <c:pt idx="7">
                    <c:v>16.4%</c:v>
                  </c:pt>
                </c:lvl>
                <c:lvl>
                  <c:pt idx="0">
                    <c:v>FY2020</c:v>
                  </c:pt>
                  <c:pt idx="1">
                    <c:v>FY2021</c:v>
                  </c:pt>
                  <c:pt idx="2">
                    <c:v>FY2022</c:v>
                  </c:pt>
                  <c:pt idx="3">
                    <c:v>FY2023</c:v>
                  </c:pt>
                  <c:pt idx="4">
                    <c:v>FY2024</c:v>
                  </c:pt>
                  <c:pt idx="5">
                    <c:v>FY2025E</c:v>
                  </c:pt>
                  <c:pt idx="6">
                    <c:v>FY2026E</c:v>
                  </c:pt>
                  <c:pt idx="7">
                    <c:v>FY2027E</c:v>
                  </c:pt>
                </c:lvl>
                <c:lvl/>
                <c:lvl/>
                <c:lvl>
                  <c:pt idx="0">
                    <c:v>2.1%</c:v>
                  </c:pt>
                  <c:pt idx="1">
                    <c:v>2.2%</c:v>
                  </c:pt>
                  <c:pt idx="2">
                    <c:v>2.4%</c:v>
                  </c:pt>
                  <c:pt idx="3">
                    <c:v>1.1%</c:v>
                  </c:pt>
                  <c:pt idx="4">
                    <c:v>1.7%</c:v>
                  </c:pt>
                  <c:pt idx="5">
                    <c:v>2.5%</c:v>
                  </c:pt>
                  <c:pt idx="6">
                    <c:v>2.6%</c:v>
                  </c:pt>
                  <c:pt idx="7">
                    <c:v>2.6%</c:v>
                  </c:pt>
                </c:lvl>
                <c:lvl>
                  <c:pt idx="0">
                    <c:v>7.4%</c:v>
                  </c:pt>
                  <c:pt idx="1">
                    <c:v>7.6%</c:v>
                  </c:pt>
                  <c:pt idx="2">
                    <c:v>7.0%</c:v>
                  </c:pt>
                  <c:pt idx="3">
                    <c:v>4.8%</c:v>
                  </c:pt>
                  <c:pt idx="4">
                    <c:v>6.7%</c:v>
                  </c:pt>
                  <c:pt idx="5">
                    <c:v>6.6%</c:v>
                  </c:pt>
                  <c:pt idx="6">
                    <c:v>6.6%</c:v>
                  </c:pt>
                  <c:pt idx="7">
                    <c:v>6.7%</c:v>
                  </c:pt>
                </c:lvl>
                <c:lvl>
                  <c:pt idx="0">
                    <c:v>7.7%</c:v>
                  </c:pt>
                  <c:pt idx="1">
                    <c:v>7.6%</c:v>
                  </c:pt>
                  <c:pt idx="2">
                    <c:v>7.5%</c:v>
                  </c:pt>
                  <c:pt idx="3">
                    <c:v>5.1%</c:v>
                  </c:pt>
                  <c:pt idx="4">
                    <c:v>7.1%</c:v>
                  </c:pt>
                  <c:pt idx="5">
                    <c:v>7.1%</c:v>
                  </c:pt>
                  <c:pt idx="6">
                    <c:v>7.1%</c:v>
                  </c:pt>
                  <c:pt idx="7">
                    <c:v>7.2%</c:v>
                  </c:pt>
                </c:lvl>
                <c:lvl>
                  <c:pt idx="0">
                    <c:v>1,298</c:v>
                  </c:pt>
                  <c:pt idx="1">
                    <c:v>(775)</c:v>
                  </c:pt>
                  <c:pt idx="2">
                    <c:v>2,808</c:v>
                  </c:pt>
                  <c:pt idx="3">
                    <c:v>2,751</c:v>
                  </c:pt>
                  <c:pt idx="4">
                    <c:v>2,731</c:v>
                  </c:pt>
                  <c:pt idx="5">
                    <c:v>1,372</c:v>
                  </c:pt>
                  <c:pt idx="6">
                    <c:v>1,403</c:v>
                  </c:pt>
                  <c:pt idx="7">
                    <c:v>1,489</c:v>
                  </c:pt>
                </c:lvl>
                <c:lvl>
                  <c:pt idx="0">
                    <c:v>1,210</c:v>
                  </c:pt>
                  <c:pt idx="1">
                    <c:v>1,165</c:v>
                  </c:pt>
                  <c:pt idx="2">
                    <c:v>1,481</c:v>
                  </c:pt>
                  <c:pt idx="3">
                    <c:v>737</c:v>
                  </c:pt>
                  <c:pt idx="4">
                    <c:v>1,188</c:v>
                  </c:pt>
                  <c:pt idx="5">
                    <c:v>1,771</c:v>
                  </c:pt>
                  <c:pt idx="6">
                    <c:v>1,821</c:v>
                  </c:pt>
                  <c:pt idx="7">
                    <c:v>1,927</c:v>
                  </c:pt>
                </c:lvl>
                <c:lvl>
                  <c:pt idx="0">
                    <c:v>4,278</c:v>
                  </c:pt>
                  <c:pt idx="1">
                    <c:v>4,050</c:v>
                  </c:pt>
                  <c:pt idx="2">
                    <c:v>4,278</c:v>
                  </c:pt>
                  <c:pt idx="3">
                    <c:v>3,110</c:v>
                  </c:pt>
                  <c:pt idx="4">
                    <c:v>4,544</c:v>
                  </c:pt>
                  <c:pt idx="5">
                    <c:v>4,617</c:v>
                  </c:pt>
                  <c:pt idx="6">
                    <c:v>4,710</c:v>
                  </c:pt>
                  <c:pt idx="7">
                    <c:v>4,877</c:v>
                  </c:pt>
                </c:lvl>
                <c:lvl>
                  <c:pt idx="0">
                    <c:v>4,451</c:v>
                  </c:pt>
                  <c:pt idx="1">
                    <c:v>4,056</c:v>
                  </c:pt>
                  <c:pt idx="2">
                    <c:v>4,594</c:v>
                  </c:pt>
                  <c:pt idx="3">
                    <c:v>3,361</c:v>
                  </c:pt>
                  <c:pt idx="4">
                    <c:v>4,849</c:v>
                  </c:pt>
                  <c:pt idx="5">
                    <c:v>4,967</c:v>
                  </c:pt>
                  <c:pt idx="6">
                    <c:v>5,066</c:v>
                  </c:pt>
                  <c:pt idx="7">
                    <c:v>5,241</c:v>
                  </c:pt>
                </c:lvl>
                <c:lvl>
                  <c:pt idx="0">
                    <c:v>58,091</c:v>
                  </c:pt>
                  <c:pt idx="1">
                    <c:v>53,440</c:v>
                  </c:pt>
                  <c:pt idx="2">
                    <c:v>61,344</c:v>
                  </c:pt>
                  <c:pt idx="3">
                    <c:v>65,322</c:v>
                  </c:pt>
                  <c:pt idx="4">
                    <c:v>68,187</c:v>
                  </c:pt>
                  <c:pt idx="5">
                    <c:v>69,960</c:v>
                  </c:pt>
                  <c:pt idx="6">
                    <c:v>71,359</c:v>
                  </c:pt>
                  <c:pt idx="7">
                    <c:v>72,786</c:v>
                  </c:pt>
                </c:lvl>
                <c:lvl>
                  <c:pt idx="0">
                    <c:v>FY2020</c:v>
                  </c:pt>
                  <c:pt idx="1">
                    <c:v>FY2021</c:v>
                  </c:pt>
                  <c:pt idx="2">
                    <c:v>FY2022</c:v>
                  </c:pt>
                  <c:pt idx="3">
                    <c:v>FY2023</c:v>
                  </c:pt>
                  <c:pt idx="4">
                    <c:v>FY2024</c:v>
                  </c:pt>
                  <c:pt idx="5">
                    <c:v>FY2025E</c:v>
                  </c:pt>
                  <c:pt idx="6">
                    <c:v>FY2026E</c:v>
                  </c:pt>
                  <c:pt idx="7">
                    <c:v>FY2027E</c:v>
                  </c:pt>
                </c:lvl>
                <c:lvl/>
                <c:lvl/>
                <c:lvl>
                  <c:pt idx="0">
                    <c:v>+4.4% YoY</c:v>
                  </c:pt>
                  <c:pt idx="2">
                    <c:v>6.7% margin</c:v>
                  </c:pt>
                  <c:pt idx="4">
                    <c:v>1.7% margin (cont. ops)</c:v>
                  </c:pt>
                  <c:pt idx="6">
                    <c:v>4.0% FCF yield</c:v>
                  </c:pt>
                </c:lvl>
                <c:lvl>
                  <c:pt idx="0">
                    <c:v>£68,187m</c:v>
                  </c:pt>
                  <c:pt idx="2">
                    <c:v>£4,544m</c:v>
                  </c:pt>
                  <c:pt idx="4">
                    <c:v>£1,188m</c:v>
                  </c:pt>
                  <c:pt idx="6">
                    <c:v>£2,731m</c:v>
                  </c:pt>
                </c:lvl>
                <c:lvl>
                  <c:pt idx="0">
                    <c:v>FY2024 Revenue</c:v>
                  </c:pt>
                  <c:pt idx="2">
                    <c:v>FY2024 EBITDA</c:v>
                  </c:pt>
                  <c:pt idx="4">
                    <c:v>FY2024 Net Income</c:v>
                  </c:pt>
                  <c:pt idx="6">
                    <c:v>FY2024 FCF</c:v>
                  </c:pt>
                </c:lvl>
                <c:lvl/>
                <c:lvl/>
              </c:multiLvlStrCache>
            </c:multiLvlStrRef>
          </c:cat>
          <c:val>
            <c:numRef>
              <c:f>Dashboard!$B$25:$I$25</c:f>
              <c:numCache>
                <c:formatCode>General</c:formatCode>
                <c:ptCount val="8"/>
              </c:numCache>
            </c:numRef>
          </c:val>
        </c:ser>
        <c:gapWidth val="150"/>
        <c:overlap val="100"/>
        <c:axId val="2384295"/>
        <c:axId val="25658196"/>
      </c:barChart>
      <c:catAx>
        <c:axId val="2384295"/>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25658196"/>
        <c:crosses val="autoZero"/>
        <c:auto val="1"/>
        <c:lblAlgn val="ctr"/>
        <c:lblOffset val="100"/>
        <c:noMultiLvlLbl val="0"/>
      </c:catAx>
      <c:valAx>
        <c:axId val="25658196"/>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2384295"/>
        <c:crosses val="autoZero"/>
        <c:crossBetween val="between"/>
      </c:valAx>
      <c:spPr>
        <a:noFill/>
        <a:ln w="0">
          <a:noFill/>
        </a:ln>
      </c:spPr>
    </c:plotArea>
    <c:legend>
      <c:legendPos val="b"/>
      <c:layout>
        <c:manualLayout>
          <c:xMode val="edge"/>
          <c:yMode val="edge"/>
          <c:x val="0.031816826099217"/>
          <c:y val="0.634010822496015"/>
          <c:w val="0.334575330072377"/>
          <c:h val="0.0396968198311838"/>
        </c:manualLayout>
      </c:layout>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525600</xdr:colOff>
      <xdr:row>25</xdr:row>
      <xdr:rowOff>3960</xdr:rowOff>
    </xdr:from>
    <xdr:to>
      <xdr:col>8</xdr:col>
      <xdr:colOff>685080</xdr:colOff>
      <xdr:row>49</xdr:row>
      <xdr:rowOff>75600</xdr:rowOff>
    </xdr:to>
    <xdr:graphicFrame>
      <xdr:nvGraphicFramePr>
        <xdr:cNvPr id="0" name="Chart 1"/>
        <xdr:cNvGraphicFramePr/>
      </xdr:nvGraphicFramePr>
      <xdr:xfrm>
        <a:off x="2287800" y="5004720"/>
        <a:ext cx="8053560" cy="4415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1:C24"/>
  <sheetViews>
    <sheetView showFormulas="false" showGridLines="false" showRowColHeaders="true" showZeros="true" rightToLeft="false" tabSelected="false" showOutlineSymbols="true" defaultGridColor="true" view="normal" topLeftCell="A7" colorId="64" zoomScale="100" zoomScaleNormal="100" zoomScalePageLayoutView="100" workbookViewId="0">
      <selection pane="topLeft" activeCell="E11" activeCellId="0" sqref="E11"/>
    </sheetView>
  </sheetViews>
  <sheetFormatPr defaultColWidth="8.66796875" defaultRowHeight="14.25" zeroHeight="false" outlineLevelRow="0" outlineLevelCol="0"/>
  <cols>
    <col collapsed="false" customWidth="true" hidden="false" outlineLevel="0" max="1" min="1" style="0" width="3"/>
    <col collapsed="false" customWidth="true" hidden="false" outlineLevel="0" max="2" min="2" style="0" width="55"/>
    <col collapsed="false" customWidth="true" hidden="false" outlineLevel="0" max="3" min="3" style="0" width="64.89"/>
  </cols>
  <sheetData>
    <row r="1" customFormat="false" ht="19.5" hidden="false" customHeight="true" outlineLevel="0" collapsed="false"/>
    <row r="2" customFormat="false" ht="18" hidden="false" customHeight="true" outlineLevel="0" collapsed="false">
      <c r="B2" s="1" t="s">
        <v>0</v>
      </c>
      <c r="C2" s="1"/>
    </row>
    <row r="3" customFormat="false" ht="18" hidden="false" customHeight="true" outlineLevel="0" collapsed="false">
      <c r="B3" s="1"/>
      <c r="C3" s="1"/>
    </row>
    <row r="4" customFormat="false" ht="18" hidden="false" customHeight="true" outlineLevel="0" collapsed="false">
      <c r="B4" s="1"/>
      <c r="C4" s="1"/>
    </row>
    <row r="5" customFormat="false" ht="18" hidden="false" customHeight="true" outlineLevel="0" collapsed="false">
      <c r="B5" s="2" t="s">
        <v>1</v>
      </c>
      <c r="C5" s="2"/>
    </row>
    <row r="6" customFormat="false" ht="18" hidden="false" customHeight="true" outlineLevel="0" collapsed="false">
      <c r="B6" s="2"/>
      <c r="C6" s="2"/>
    </row>
    <row r="7" customFormat="false" ht="18" hidden="false" customHeight="true" outlineLevel="0" collapsed="false">
      <c r="B7" s="3" t="s">
        <v>2</v>
      </c>
      <c r="C7" s="3"/>
    </row>
    <row r="8" customFormat="false" ht="18" hidden="false" customHeight="true" outlineLevel="0" collapsed="false">
      <c r="B8" s="3"/>
      <c r="C8" s="3"/>
    </row>
    <row r="9" customFormat="false" ht="18" hidden="false" customHeight="true" outlineLevel="0" collapsed="false"/>
    <row r="10" customFormat="false" ht="18" hidden="false" customHeight="true" outlineLevel="0" collapsed="false">
      <c r="B10" s="4" t="s">
        <v>3</v>
      </c>
      <c r="C10" s="5" t="s">
        <v>4</v>
      </c>
    </row>
    <row r="11" customFormat="false" ht="18" hidden="false" customHeight="true" outlineLevel="0" collapsed="false">
      <c r="B11" s="4" t="s">
        <v>5</v>
      </c>
      <c r="C11" s="5" t="s">
        <v>6</v>
      </c>
    </row>
    <row r="12" customFormat="false" ht="18" hidden="false" customHeight="true" outlineLevel="0" collapsed="false">
      <c r="B12" s="4" t="s">
        <v>7</v>
      </c>
      <c r="C12" s="5" t="s">
        <v>8</v>
      </c>
    </row>
    <row r="13" customFormat="false" ht="18" hidden="false" customHeight="true" outlineLevel="0" collapsed="false">
      <c r="B13" s="4" t="s">
        <v>9</v>
      </c>
      <c r="C13" s="5" t="s">
        <v>10</v>
      </c>
    </row>
    <row r="14" customFormat="false" ht="18" hidden="false" customHeight="true" outlineLevel="0" collapsed="false">
      <c r="B14" s="4" t="s">
        <v>11</v>
      </c>
      <c r="C14" s="5" t="s">
        <v>12</v>
      </c>
    </row>
    <row r="15" customFormat="false" ht="18" hidden="false" customHeight="true" outlineLevel="0" collapsed="false">
      <c r="B15" s="4" t="s">
        <v>13</v>
      </c>
      <c r="C15" s="5" t="s">
        <v>14</v>
      </c>
    </row>
    <row r="16" customFormat="false" ht="18" hidden="false" customHeight="true" outlineLevel="0" collapsed="false"/>
    <row r="17" customFormat="false" ht="18" hidden="false" customHeight="true" outlineLevel="0" collapsed="false">
      <c r="B17" s="6" t="s">
        <v>15</v>
      </c>
      <c r="C17" s="7"/>
    </row>
    <row r="18" customFormat="false" ht="18" hidden="false" customHeight="true" outlineLevel="0" collapsed="false">
      <c r="B18" s="8" t="s">
        <v>16</v>
      </c>
      <c r="C18" s="5" t="s">
        <v>17</v>
      </c>
    </row>
    <row r="19" customFormat="false" ht="18" hidden="false" customHeight="true" outlineLevel="0" collapsed="false">
      <c r="B19" s="8" t="s">
        <v>18</v>
      </c>
      <c r="C19" s="5" t="s">
        <v>19</v>
      </c>
    </row>
    <row r="20" customFormat="false" ht="18" hidden="false" customHeight="true" outlineLevel="0" collapsed="false">
      <c r="B20" s="8" t="s">
        <v>20</v>
      </c>
      <c r="C20" s="5" t="s">
        <v>21</v>
      </c>
    </row>
    <row r="21" customFormat="false" ht="18" hidden="false" customHeight="true" outlineLevel="0" collapsed="false">
      <c r="B21" s="8" t="s">
        <v>22</v>
      </c>
      <c r="C21" s="5" t="s">
        <v>23</v>
      </c>
    </row>
    <row r="22" customFormat="false" ht="18" hidden="false" customHeight="true" outlineLevel="0" collapsed="false">
      <c r="B22" s="8" t="s">
        <v>24</v>
      </c>
      <c r="C22" s="5" t="s">
        <v>25</v>
      </c>
    </row>
    <row r="23" customFormat="false" ht="18" hidden="false" customHeight="true" outlineLevel="0" collapsed="false">
      <c r="B23" s="8" t="s">
        <v>26</v>
      </c>
      <c r="C23" s="5" t="s">
        <v>27</v>
      </c>
    </row>
    <row r="24" customFormat="false" ht="18" hidden="false" customHeight="true" outlineLevel="0" collapsed="false">
      <c r="B24" s="8" t="s">
        <v>28</v>
      </c>
      <c r="C24" s="5" t="s">
        <v>29</v>
      </c>
    </row>
  </sheetData>
  <mergeCells count="3">
    <mergeCell ref="B2:C4"/>
    <mergeCell ref="B5:C6"/>
    <mergeCell ref="B7:C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700"/>
    <pageSetUpPr fitToPage="false"/>
  </sheetPr>
  <dimension ref="A1:D31"/>
  <sheetViews>
    <sheetView showFormulas="false" showGridLines="false" showRowColHeaders="true" showZeros="true" rightToLeft="false" tabSelected="false" showOutlineSymbols="true" defaultGridColor="true" view="normal" topLeftCell="A7"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35"/>
    <col collapsed="false" customWidth="true" hidden="false" outlineLevel="0" max="4" min="2" style="0" width="18"/>
  </cols>
  <sheetData>
    <row r="1" customFormat="false" ht="27.75" hidden="false" customHeight="true" outlineLevel="0" collapsed="false">
      <c r="A1" s="9" t="s">
        <v>30</v>
      </c>
      <c r="B1" s="9"/>
      <c r="C1" s="9"/>
      <c r="D1" s="9"/>
    </row>
    <row r="2" customFormat="false" ht="15" hidden="false" customHeight="true" outlineLevel="0" collapsed="false">
      <c r="A2" s="10" t="s">
        <v>31</v>
      </c>
      <c r="B2" s="10"/>
      <c r="C2" s="10"/>
      <c r="D2" s="10"/>
    </row>
    <row r="3" customFormat="false" ht="19.5" hidden="false" customHeight="true" outlineLevel="0" collapsed="false">
      <c r="A3" s="11" t="s">
        <v>32</v>
      </c>
      <c r="B3" s="11" t="s">
        <v>33</v>
      </c>
      <c r="C3" s="11" t="s">
        <v>34</v>
      </c>
      <c r="D3" s="11" t="s">
        <v>35</v>
      </c>
    </row>
    <row r="4" customFormat="false" ht="15" hidden="false" customHeight="true" outlineLevel="0" collapsed="false">
      <c r="A4" s="12" t="s">
        <v>36</v>
      </c>
      <c r="B4" s="12"/>
      <c r="C4" s="12"/>
      <c r="D4" s="12"/>
    </row>
    <row r="5" customFormat="false" ht="15" hidden="false" customHeight="true" outlineLevel="0" collapsed="false">
      <c r="A5" s="13" t="s">
        <v>37</v>
      </c>
      <c r="B5" s="14" t="n">
        <v>0.026</v>
      </c>
      <c r="C5" s="14" t="n">
        <v>0.02</v>
      </c>
      <c r="D5" s="14" t="n">
        <v>0.02</v>
      </c>
    </row>
    <row r="6" customFormat="false" ht="15" hidden="false" customHeight="true" outlineLevel="0" collapsed="false">
      <c r="A6" s="13" t="s">
        <v>38</v>
      </c>
      <c r="B6" s="14" t="n">
        <v>0.071</v>
      </c>
      <c r="C6" s="14" t="n">
        <v>0.071</v>
      </c>
      <c r="D6" s="14" t="n">
        <v>0.072</v>
      </c>
    </row>
    <row r="7" customFormat="false" ht="15" hidden="false" customHeight="true" outlineLevel="0" collapsed="false">
      <c r="A7" s="13" t="s">
        <v>39</v>
      </c>
      <c r="B7" s="14" t="n">
        <v>0.03</v>
      </c>
      <c r="C7" s="14" t="n">
        <v>0.03</v>
      </c>
      <c r="D7" s="14" t="n">
        <v>0.03</v>
      </c>
    </row>
    <row r="8" customFormat="false" ht="15" hidden="false" customHeight="true" outlineLevel="0" collapsed="false">
      <c r="A8" s="13" t="s">
        <v>40</v>
      </c>
      <c r="B8" s="14" t="n">
        <v>0.066</v>
      </c>
      <c r="C8" s="14" t="n">
        <v>0.066</v>
      </c>
      <c r="D8" s="14" t="n">
        <v>0.067</v>
      </c>
    </row>
    <row r="9" customFormat="false" ht="15" hidden="false" customHeight="true" outlineLevel="0" collapsed="false">
      <c r="A9" s="13" t="s">
        <v>41</v>
      </c>
      <c r="B9" s="14" t="n">
        <v>0.026</v>
      </c>
      <c r="C9" s="14" t="n">
        <v>0.026</v>
      </c>
      <c r="D9" s="14" t="n">
        <v>0.026</v>
      </c>
    </row>
    <row r="10" customFormat="false" ht="15" hidden="false" customHeight="true" outlineLevel="0" collapsed="false">
      <c r="A10" s="13" t="s">
        <v>42</v>
      </c>
      <c r="B10" s="15" t="n">
        <v>270</v>
      </c>
      <c r="C10" s="15" t="n">
        <v>265</v>
      </c>
      <c r="D10" s="15" t="n">
        <v>260</v>
      </c>
    </row>
    <row r="11" customFormat="false" ht="15" hidden="false" customHeight="true" outlineLevel="0" collapsed="false">
      <c r="A11" s="13" t="s">
        <v>43</v>
      </c>
      <c r="B11" s="15" t="n">
        <v>790</v>
      </c>
      <c r="C11" s="15" t="n">
        <v>780</v>
      </c>
      <c r="D11" s="15" t="n">
        <v>770</v>
      </c>
    </row>
    <row r="12" customFormat="false" ht="15" hidden="false" customHeight="true" outlineLevel="0" collapsed="false">
      <c r="A12" s="13" t="s">
        <v>44</v>
      </c>
      <c r="B12" s="14" t="n">
        <v>0.255</v>
      </c>
      <c r="C12" s="14" t="n">
        <v>0.255</v>
      </c>
      <c r="D12" s="14" t="n">
        <v>0.255</v>
      </c>
    </row>
    <row r="14" customFormat="false" ht="15" hidden="false" customHeight="true" outlineLevel="0" collapsed="false">
      <c r="A14" s="12" t="s">
        <v>45</v>
      </c>
      <c r="B14" s="12"/>
      <c r="C14" s="12"/>
      <c r="D14" s="12"/>
    </row>
    <row r="15" customFormat="false" ht="15" hidden="false" customHeight="true" outlineLevel="0" collapsed="false">
      <c r="A15" s="13" t="s">
        <v>46</v>
      </c>
      <c r="B15" s="15" t="n">
        <v>14</v>
      </c>
      <c r="C15" s="15" t="n">
        <v>14</v>
      </c>
      <c r="D15" s="15" t="n">
        <v>14</v>
      </c>
    </row>
    <row r="16" customFormat="false" ht="15" hidden="false" customHeight="true" outlineLevel="0" collapsed="false">
      <c r="A16" s="13" t="s">
        <v>47</v>
      </c>
      <c r="B16" s="15" t="n">
        <v>5</v>
      </c>
      <c r="C16" s="15" t="n">
        <v>5</v>
      </c>
      <c r="D16" s="15" t="n">
        <v>5</v>
      </c>
    </row>
    <row r="17" customFormat="false" ht="15" hidden="false" customHeight="true" outlineLevel="0" collapsed="false">
      <c r="A17" s="13" t="s">
        <v>48</v>
      </c>
      <c r="B17" s="15" t="n">
        <v>38</v>
      </c>
      <c r="C17" s="15" t="n">
        <v>38</v>
      </c>
      <c r="D17" s="15" t="n">
        <v>38</v>
      </c>
    </row>
    <row r="19" customFormat="false" ht="15" hidden="false" customHeight="true" outlineLevel="0" collapsed="false">
      <c r="A19" s="12" t="s">
        <v>49</v>
      </c>
      <c r="B19" s="12"/>
      <c r="C19" s="12"/>
      <c r="D19" s="12"/>
    </row>
    <row r="20" customFormat="false" ht="15" hidden="false" customHeight="true" outlineLevel="0" collapsed="false">
      <c r="A20" s="13" t="s">
        <v>50</v>
      </c>
      <c r="B20" s="14" t="n">
        <v>0.021</v>
      </c>
      <c r="C20" s="14" t="n">
        <v>0.021</v>
      </c>
      <c r="D20" s="14" t="n">
        <v>0.021</v>
      </c>
    </row>
    <row r="21" customFormat="false" ht="15" hidden="false" customHeight="true" outlineLevel="0" collapsed="false">
      <c r="A21" s="13" t="s">
        <v>51</v>
      </c>
      <c r="B21" s="15" t="n">
        <v>1720</v>
      </c>
      <c r="C21" s="15" t="n">
        <v>1750</v>
      </c>
      <c r="D21" s="15" t="n">
        <v>1780</v>
      </c>
    </row>
    <row r="22" customFormat="false" ht="15" hidden="false" customHeight="true" outlineLevel="0" collapsed="false">
      <c r="A22" s="13" t="s">
        <v>52</v>
      </c>
      <c r="B22" s="15" t="n">
        <v>9500</v>
      </c>
      <c r="C22" s="15" t="n">
        <v>9200</v>
      </c>
      <c r="D22" s="15" t="n">
        <v>8900</v>
      </c>
    </row>
    <row r="25" customFormat="false" ht="15" hidden="false" customHeight="true" outlineLevel="0" collapsed="false">
      <c r="A25" s="16" t="s">
        <v>53</v>
      </c>
    </row>
    <row r="26" customFormat="false" ht="15" hidden="false" customHeight="true" outlineLevel="0" collapsed="false">
      <c r="A26" s="17" t="s">
        <v>54</v>
      </c>
    </row>
    <row r="27" customFormat="false" ht="15" hidden="false" customHeight="true" outlineLevel="0" collapsed="false">
      <c r="A27" s="17" t="s">
        <v>55</v>
      </c>
    </row>
    <row r="28" customFormat="false" ht="15" hidden="false" customHeight="true" outlineLevel="0" collapsed="false">
      <c r="A28" s="17" t="s">
        <v>56</v>
      </c>
    </row>
    <row r="29" customFormat="false" ht="15" hidden="false" customHeight="true" outlineLevel="0" collapsed="false">
      <c r="A29" s="17" t="s">
        <v>57</v>
      </c>
    </row>
    <row r="30" customFormat="false" ht="15" hidden="false" customHeight="true" outlineLevel="0" collapsed="false">
      <c r="A30" s="17" t="s">
        <v>58</v>
      </c>
    </row>
    <row r="31" customFormat="false" ht="15" hidden="false" customHeight="true" outlineLevel="0" collapsed="false">
      <c r="A31" s="17" t="s">
        <v>59</v>
      </c>
    </row>
  </sheetData>
  <mergeCells count="5">
    <mergeCell ref="A1:D1"/>
    <mergeCell ref="A2:D2"/>
    <mergeCell ref="A4:D4"/>
    <mergeCell ref="A14:D14"/>
    <mergeCell ref="A19:D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false"/>
  </sheetPr>
  <dimension ref="A1:F54"/>
  <sheetViews>
    <sheetView showFormulas="false" showGridLines="false" showRowColHeaders="true" showZeros="true" rightToLeft="false" tabSelected="false" showOutlineSymbols="true" defaultGridColor="true" view="normal" topLeftCell="A13"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38"/>
    <col collapsed="false" customWidth="true" hidden="false" outlineLevel="0" max="6" min="2" style="0" width="16"/>
  </cols>
  <sheetData>
    <row r="1" customFormat="false" ht="27.75" hidden="false" customHeight="true" outlineLevel="0" collapsed="false">
      <c r="A1" s="9" t="s">
        <v>60</v>
      </c>
      <c r="B1" s="9"/>
      <c r="C1" s="9"/>
      <c r="D1" s="9"/>
      <c r="E1" s="9"/>
      <c r="F1" s="9"/>
    </row>
    <row r="2" customFormat="false" ht="15" hidden="false" customHeight="true" outlineLevel="0" collapsed="false">
      <c r="A2" s="10" t="s">
        <v>61</v>
      </c>
      <c r="B2" s="10"/>
      <c r="C2" s="10"/>
      <c r="D2" s="10"/>
      <c r="E2" s="10"/>
      <c r="F2" s="10"/>
    </row>
    <row r="3" customFormat="false" ht="19.5" hidden="false" customHeight="true" outlineLevel="0" collapsed="false">
      <c r="B3" s="11" t="s">
        <v>62</v>
      </c>
      <c r="C3" s="11" t="s">
        <v>63</v>
      </c>
      <c r="D3" s="11" t="s">
        <v>64</v>
      </c>
      <c r="E3" s="11" t="s">
        <v>65</v>
      </c>
      <c r="F3" s="11" t="s">
        <v>66</v>
      </c>
    </row>
    <row r="4" customFormat="false" ht="18" hidden="false" customHeight="true" outlineLevel="0" collapsed="false">
      <c r="A4" s="12" t="s">
        <v>67</v>
      </c>
      <c r="B4" s="12"/>
      <c r="C4" s="12"/>
      <c r="D4" s="12"/>
      <c r="E4" s="12"/>
      <c r="F4" s="12"/>
    </row>
    <row r="5" customFormat="false" ht="15" hidden="false" customHeight="true" outlineLevel="0" collapsed="false">
      <c r="A5" s="18" t="s">
        <v>68</v>
      </c>
      <c r="B5" s="19" t="n">
        <v>58091</v>
      </c>
      <c r="C5" s="19" t="n">
        <v>53440</v>
      </c>
      <c r="D5" s="19" t="n">
        <v>61344</v>
      </c>
      <c r="E5" s="19" t="n">
        <v>65322</v>
      </c>
      <c r="F5" s="19" t="n">
        <v>68187</v>
      </c>
    </row>
    <row r="6" customFormat="false" ht="15" hidden="false" customHeight="true" outlineLevel="0" collapsed="false">
      <c r="A6" s="18" t="s">
        <v>69</v>
      </c>
      <c r="B6" s="19" t="n">
        <v>53640</v>
      </c>
      <c r="C6" s="19" t="n">
        <v>49384</v>
      </c>
      <c r="D6" s="19" t="n">
        <v>56750</v>
      </c>
      <c r="E6" s="19" t="n">
        <v>61961</v>
      </c>
      <c r="F6" s="19" t="n">
        <v>63338</v>
      </c>
    </row>
    <row r="7" customFormat="false" ht="15" hidden="false" customHeight="true" outlineLevel="0" collapsed="false">
      <c r="A7" s="20" t="s">
        <v>70</v>
      </c>
      <c r="B7" s="21" t="n">
        <v>4451</v>
      </c>
      <c r="C7" s="21" t="n">
        <v>4056</v>
      </c>
      <c r="D7" s="21" t="n">
        <v>4594</v>
      </c>
      <c r="E7" s="21" t="n">
        <v>3361</v>
      </c>
      <c r="F7" s="21" t="n">
        <v>4849</v>
      </c>
    </row>
    <row r="8" customFormat="false" ht="15" hidden="false" customHeight="true" outlineLevel="0" collapsed="false">
      <c r="A8" s="18" t="s">
        <v>71</v>
      </c>
      <c r="B8" s="19" t="n">
        <v>2285</v>
      </c>
      <c r="C8" s="19" t="n">
        <v>2063</v>
      </c>
      <c r="D8" s="19" t="n">
        <v>2073</v>
      </c>
      <c r="E8" s="19" t="n">
        <v>1951</v>
      </c>
      <c r="F8" s="19" t="n">
        <v>2028</v>
      </c>
    </row>
    <row r="9" customFormat="false" ht="15" hidden="false" customHeight="true" outlineLevel="0" collapsed="false">
      <c r="A9" s="20" t="s">
        <v>72</v>
      </c>
      <c r="B9" s="21" t="n">
        <v>4278</v>
      </c>
      <c r="C9" s="21" t="n">
        <v>4050</v>
      </c>
      <c r="D9" s="21" t="n">
        <v>4278</v>
      </c>
      <c r="E9" s="21" t="n">
        <v>3110</v>
      </c>
      <c r="F9" s="21" t="n">
        <v>4544</v>
      </c>
    </row>
    <row r="10" customFormat="false" ht="15" hidden="false" customHeight="true" outlineLevel="0" collapsed="false">
      <c r="A10" s="20" t="s">
        <v>73</v>
      </c>
      <c r="B10" s="21" t="n">
        <v>2166</v>
      </c>
      <c r="C10" s="21" t="n">
        <v>1993</v>
      </c>
      <c r="D10" s="21" t="n">
        <v>2560</v>
      </c>
      <c r="E10" s="21" t="n">
        <v>1410</v>
      </c>
      <c r="F10" s="21" t="n">
        <v>2821</v>
      </c>
    </row>
    <row r="11" customFormat="false" ht="15" hidden="false" customHeight="true" outlineLevel="0" collapsed="false">
      <c r="A11" s="18" t="s">
        <v>74</v>
      </c>
      <c r="B11" s="19" t="n">
        <v>76</v>
      </c>
      <c r="C11" s="19" t="n">
        <v>48</v>
      </c>
      <c r="D11" s="19" t="n">
        <v>9</v>
      </c>
      <c r="E11" s="19" t="n">
        <v>87</v>
      </c>
      <c r="F11" s="19" t="n">
        <v>267</v>
      </c>
    </row>
    <row r="12" customFormat="false" ht="15" hidden="false" customHeight="true" outlineLevel="0" collapsed="false">
      <c r="A12" s="18" t="s">
        <v>75</v>
      </c>
      <c r="B12" s="19" t="n">
        <v>574</v>
      </c>
      <c r="C12" s="19" t="n">
        <v>517</v>
      </c>
      <c r="D12" s="19" t="n">
        <v>551</v>
      </c>
      <c r="E12" s="19" t="n">
        <v>623</v>
      </c>
      <c r="F12" s="19" t="n">
        <v>805</v>
      </c>
    </row>
    <row r="13" customFormat="false" ht="15" hidden="false" customHeight="true" outlineLevel="0" collapsed="false">
      <c r="A13" s="20" t="s">
        <v>76</v>
      </c>
      <c r="B13" s="21" t="n">
        <v>1668</v>
      </c>
      <c r="C13" s="21" t="n">
        <v>1524</v>
      </c>
      <c r="D13" s="21" t="n">
        <v>2033</v>
      </c>
      <c r="E13" s="21" t="n">
        <v>882</v>
      </c>
      <c r="F13" s="21" t="n">
        <v>2289</v>
      </c>
    </row>
    <row r="14" customFormat="false" ht="15" hidden="false" customHeight="true" outlineLevel="0" collapsed="false">
      <c r="A14" s="18" t="s">
        <v>77</v>
      </c>
      <c r="B14" s="19" t="n">
        <v>458</v>
      </c>
      <c r="C14" s="19" t="n">
        <v>359</v>
      </c>
      <c r="D14" s="19" t="n">
        <v>510</v>
      </c>
      <c r="E14" s="19" t="n">
        <v>224</v>
      </c>
      <c r="F14" s="19" t="n">
        <v>525</v>
      </c>
    </row>
    <row r="15" customFormat="false" ht="15" hidden="false" customHeight="true" outlineLevel="0" collapsed="false">
      <c r="A15" s="20" t="s">
        <v>78</v>
      </c>
      <c r="B15" s="21" t="n">
        <v>1210</v>
      </c>
      <c r="C15" s="21" t="n">
        <v>1165</v>
      </c>
      <c r="D15" s="21" t="n">
        <v>1481</v>
      </c>
      <c r="E15" s="21" t="n">
        <v>737</v>
      </c>
      <c r="F15" s="21" t="n">
        <v>1188</v>
      </c>
    </row>
    <row r="17" customFormat="false" ht="18" hidden="false" customHeight="true" outlineLevel="0" collapsed="false">
      <c r="A17" s="12" t="s">
        <v>79</v>
      </c>
      <c r="B17" s="12"/>
      <c r="C17" s="12"/>
      <c r="D17" s="12"/>
      <c r="E17" s="12"/>
      <c r="F17" s="12"/>
    </row>
    <row r="18" customFormat="false" ht="15" hidden="false" customHeight="true" outlineLevel="0" collapsed="false">
      <c r="A18" s="18" t="s">
        <v>38</v>
      </c>
      <c r="B18" s="22" t="n">
        <v>0.0766211633471622</v>
      </c>
      <c r="C18" s="22" t="n">
        <v>0.0758982035928144</v>
      </c>
      <c r="D18" s="22" t="n">
        <v>0.0748891497130934</v>
      </c>
      <c r="E18" s="22" t="n">
        <v>0.0514528030372616</v>
      </c>
      <c r="F18" s="22" t="n">
        <v>0.0711132620587502</v>
      </c>
    </row>
    <row r="19" customFormat="false" ht="15" hidden="false" customHeight="true" outlineLevel="0" collapsed="false">
      <c r="A19" s="18" t="s">
        <v>40</v>
      </c>
      <c r="B19" s="22" t="n">
        <v>0.0736430772408807</v>
      </c>
      <c r="C19" s="22" t="n">
        <v>0.0757859281437126</v>
      </c>
      <c r="D19" s="22" t="n">
        <v>0.0697378716744914</v>
      </c>
      <c r="E19" s="22" t="n">
        <v>0.0476102997458743</v>
      </c>
      <c r="F19" s="22" t="n">
        <v>0.0666402686729142</v>
      </c>
    </row>
    <row r="20" customFormat="false" ht="15" hidden="false" customHeight="true" outlineLevel="0" collapsed="false">
      <c r="A20" s="18" t="s">
        <v>80</v>
      </c>
      <c r="B20" s="22" t="n">
        <v>0.0372863266254669</v>
      </c>
      <c r="C20" s="22" t="n">
        <v>0.0372941616766467</v>
      </c>
      <c r="D20" s="22" t="n">
        <v>0.0417318727177882</v>
      </c>
      <c r="E20" s="22" t="n">
        <v>0.0215853770552035</v>
      </c>
      <c r="F20" s="22" t="n">
        <v>0.0413715224309619</v>
      </c>
    </row>
    <row r="21" customFormat="false" ht="15" hidden="false" customHeight="true" outlineLevel="0" collapsed="false">
      <c r="A21" s="18" t="s">
        <v>81</v>
      </c>
      <c r="B21" s="22" t="n">
        <v>0.0208293883734141</v>
      </c>
      <c r="C21" s="22" t="n">
        <v>0.0218001497005988</v>
      </c>
      <c r="D21" s="22" t="n">
        <v>0.0241425404277517</v>
      </c>
      <c r="E21" s="22" t="n">
        <v>0.0112825694253085</v>
      </c>
      <c r="F21" s="22" t="n">
        <v>0.0174226758766334</v>
      </c>
    </row>
    <row r="23" customFormat="false" ht="18" hidden="false" customHeight="true" outlineLevel="0" collapsed="false">
      <c r="A23" s="12" t="s">
        <v>82</v>
      </c>
      <c r="B23" s="12"/>
      <c r="C23" s="12"/>
      <c r="D23" s="12"/>
      <c r="E23" s="12"/>
      <c r="F23" s="12"/>
    </row>
    <row r="24" customFormat="false" ht="15" hidden="false" customHeight="true" outlineLevel="0" collapsed="false">
      <c r="A24" s="23" t="s">
        <v>83</v>
      </c>
    </row>
    <row r="25" customFormat="false" ht="15" hidden="false" customHeight="true" outlineLevel="0" collapsed="false">
      <c r="A25" s="18" t="s">
        <v>84</v>
      </c>
      <c r="B25" s="19" t="n">
        <v>2169</v>
      </c>
      <c r="C25" s="19" t="n">
        <v>1978</v>
      </c>
      <c r="D25" s="19" t="n">
        <v>1771</v>
      </c>
      <c r="E25" s="19" t="n">
        <v>1565</v>
      </c>
      <c r="F25" s="19" t="n">
        <v>1528</v>
      </c>
    </row>
    <row r="26" customFormat="false" ht="15" hidden="false" customHeight="true" outlineLevel="0" collapsed="false">
      <c r="A26" s="18" t="s">
        <v>85</v>
      </c>
      <c r="B26" s="19" t="n">
        <v>2177</v>
      </c>
      <c r="C26" s="19" t="n">
        <v>1970</v>
      </c>
      <c r="D26" s="19" t="n">
        <v>2073</v>
      </c>
      <c r="E26" s="19" t="n">
        <v>2275</v>
      </c>
      <c r="F26" s="19" t="n">
        <v>2348</v>
      </c>
    </row>
    <row r="27" customFormat="false" ht="15" hidden="false" customHeight="true" outlineLevel="0" collapsed="false">
      <c r="A27" s="18" t="s">
        <v>86</v>
      </c>
      <c r="B27" s="19" t="n">
        <v>813</v>
      </c>
      <c r="C27" s="19" t="n">
        <v>801</v>
      </c>
      <c r="D27" s="19" t="n">
        <v>902</v>
      </c>
      <c r="E27" s="19" t="n">
        <v>909</v>
      </c>
      <c r="F27" s="19" t="n">
        <v>919</v>
      </c>
    </row>
    <row r="28" customFormat="false" ht="15" hidden="false" customHeight="true" outlineLevel="0" collapsed="false">
      <c r="A28" s="18" t="s">
        <v>87</v>
      </c>
      <c r="B28" s="19" t="n">
        <v>1050</v>
      </c>
      <c r="C28" s="19" t="n">
        <v>920</v>
      </c>
      <c r="D28" s="19" t="n">
        <v>884</v>
      </c>
      <c r="E28" s="19" t="n">
        <v>974</v>
      </c>
      <c r="F28" s="19" t="n">
        <v>1012</v>
      </c>
    </row>
    <row r="29" customFormat="false" ht="15" hidden="false" customHeight="true" outlineLevel="0" collapsed="false">
      <c r="A29" s="20" t="s">
        <v>88</v>
      </c>
      <c r="B29" s="21" t="n">
        <v>6209</v>
      </c>
      <c r="C29" s="21" t="n">
        <v>5669</v>
      </c>
      <c r="D29" s="21" t="n">
        <v>5630</v>
      </c>
      <c r="E29" s="21" t="n">
        <v>5723</v>
      </c>
      <c r="F29" s="21" t="n">
        <v>5807</v>
      </c>
    </row>
    <row r="30" customFormat="false" ht="15" hidden="false" customHeight="true" outlineLevel="0" collapsed="false">
      <c r="A30" s="18" t="s">
        <v>89</v>
      </c>
      <c r="B30" s="19" t="n">
        <v>10002</v>
      </c>
      <c r="C30" s="19" t="n">
        <v>9826</v>
      </c>
      <c r="D30" s="19" t="n">
        <v>10093</v>
      </c>
      <c r="E30" s="19" t="n">
        <v>9830</v>
      </c>
      <c r="F30" s="19" t="n">
        <v>9681</v>
      </c>
    </row>
    <row r="31" customFormat="false" ht="15" hidden="false" customHeight="true" outlineLevel="0" collapsed="false">
      <c r="A31" s="18" t="s">
        <v>90</v>
      </c>
      <c r="B31" s="19" t="n">
        <v>2789</v>
      </c>
      <c r="C31" s="19" t="n">
        <v>2658</v>
      </c>
      <c r="D31" s="19" t="n">
        <v>2665</v>
      </c>
      <c r="E31" s="19" t="n">
        <v>2558</v>
      </c>
      <c r="F31" s="19" t="n">
        <v>2568</v>
      </c>
    </row>
    <row r="32" customFormat="false" ht="15" hidden="false" customHeight="true" outlineLevel="0" collapsed="false">
      <c r="A32" s="18" t="s">
        <v>91</v>
      </c>
      <c r="B32" s="19" t="n">
        <v>10421</v>
      </c>
      <c r="C32" s="19" t="n">
        <v>10126</v>
      </c>
      <c r="D32" s="19" t="n">
        <v>9986</v>
      </c>
      <c r="E32" s="19" t="n">
        <v>9897</v>
      </c>
      <c r="F32" s="19" t="n">
        <v>9831</v>
      </c>
    </row>
    <row r="33" customFormat="false" ht="15" hidden="false" customHeight="true" outlineLevel="0" collapsed="false">
      <c r="A33" s="18" t="s">
        <v>92</v>
      </c>
      <c r="B33" s="19" t="n">
        <v>15091</v>
      </c>
      <c r="C33" s="19" t="n">
        <v>17233</v>
      </c>
      <c r="D33" s="19" t="n">
        <v>20977</v>
      </c>
      <c r="E33" s="19" t="n">
        <v>17860</v>
      </c>
      <c r="F33" s="19" t="n">
        <v>19152</v>
      </c>
    </row>
    <row r="34" customFormat="false" ht="15" hidden="false" customHeight="true" outlineLevel="0" collapsed="false">
      <c r="A34" s="20" t="s">
        <v>93</v>
      </c>
      <c r="B34" s="21" t="n">
        <v>53102</v>
      </c>
      <c r="C34" s="21" t="n">
        <v>45512</v>
      </c>
      <c r="D34" s="21" t="n">
        <v>49351</v>
      </c>
      <c r="E34" s="21" t="n">
        <v>45868</v>
      </c>
      <c r="F34" s="21" t="n">
        <v>47039</v>
      </c>
    </row>
    <row r="35" customFormat="false" ht="15" hidden="false" customHeight="true" outlineLevel="0" collapsed="false">
      <c r="A35" s="23" t="s">
        <v>94</v>
      </c>
    </row>
    <row r="36" customFormat="false" ht="15" hidden="false" customHeight="true" outlineLevel="0" collapsed="false">
      <c r="A36" s="18" t="s">
        <v>95</v>
      </c>
      <c r="B36" s="19" t="n">
        <v>5675</v>
      </c>
      <c r="C36" s="19" t="n">
        <v>5379</v>
      </c>
      <c r="D36" s="19" t="n">
        <v>6032</v>
      </c>
      <c r="E36" s="19" t="n">
        <v>6540</v>
      </c>
      <c r="F36" s="19" t="n">
        <v>6658</v>
      </c>
    </row>
    <row r="37" customFormat="false" ht="15" hidden="false" customHeight="true" outlineLevel="0" collapsed="false">
      <c r="A37" s="18" t="s">
        <v>96</v>
      </c>
      <c r="B37" s="19" t="n">
        <v>986</v>
      </c>
      <c r="C37" s="19" t="n">
        <v>1184</v>
      </c>
      <c r="D37" s="19" t="n">
        <v>758</v>
      </c>
      <c r="E37" s="19" t="n">
        <v>773</v>
      </c>
      <c r="F37" s="19" t="n">
        <v>881</v>
      </c>
    </row>
    <row r="38" customFormat="false" ht="15" hidden="false" customHeight="true" outlineLevel="0" collapsed="false">
      <c r="A38" s="18" t="s">
        <v>97</v>
      </c>
      <c r="B38" s="19" t="n">
        <v>4882</v>
      </c>
      <c r="C38" s="19" t="n">
        <v>4506</v>
      </c>
      <c r="D38" s="19" t="n">
        <v>4848</v>
      </c>
      <c r="E38" s="19" t="n">
        <v>4571</v>
      </c>
      <c r="F38" s="19" t="n">
        <v>4734</v>
      </c>
    </row>
    <row r="39" customFormat="false" ht="15" hidden="false" customHeight="true" outlineLevel="0" collapsed="false">
      <c r="A39" s="20" t="s">
        <v>98</v>
      </c>
      <c r="B39" s="21" t="n">
        <v>11543</v>
      </c>
      <c r="C39" s="21" t="n">
        <v>11069</v>
      </c>
      <c r="D39" s="21" t="n">
        <v>11638</v>
      </c>
      <c r="E39" s="21" t="n">
        <v>11884</v>
      </c>
      <c r="F39" s="21" t="n">
        <v>12273</v>
      </c>
    </row>
    <row r="40" customFormat="false" ht="15" hidden="false" customHeight="true" outlineLevel="0" collapsed="false">
      <c r="A40" s="18" t="s">
        <v>99</v>
      </c>
      <c r="B40" s="19" t="n">
        <v>11238</v>
      </c>
      <c r="C40" s="19" t="n">
        <v>9856</v>
      </c>
      <c r="D40" s="19" t="n">
        <v>10869</v>
      </c>
      <c r="E40" s="19" t="n">
        <v>9963</v>
      </c>
      <c r="F40" s="19" t="n">
        <v>9591</v>
      </c>
    </row>
    <row r="41" customFormat="false" ht="15" hidden="false" customHeight="true" outlineLevel="0" collapsed="false">
      <c r="A41" s="18" t="s">
        <v>100</v>
      </c>
      <c r="B41" s="19" t="n">
        <v>10682</v>
      </c>
      <c r="C41" s="19" t="n">
        <v>10126</v>
      </c>
      <c r="D41" s="19" t="n">
        <v>9986</v>
      </c>
      <c r="E41" s="19" t="n">
        <v>9897</v>
      </c>
      <c r="F41" s="19" t="n">
        <v>9831</v>
      </c>
    </row>
    <row r="42" customFormat="false" ht="15" hidden="false" customHeight="true" outlineLevel="0" collapsed="false">
      <c r="A42" s="18" t="s">
        <v>101</v>
      </c>
      <c r="B42" s="19" t="n">
        <v>3120</v>
      </c>
      <c r="C42" s="19" t="n">
        <v>2822</v>
      </c>
      <c r="D42" s="19" t="n">
        <v>1869</v>
      </c>
      <c r="E42" s="19" t="n">
        <v>2099</v>
      </c>
      <c r="F42" s="19" t="n">
        <v>3679</v>
      </c>
    </row>
    <row r="43" customFormat="false" ht="15" hidden="false" customHeight="true" outlineLevel="0" collapsed="false">
      <c r="A43" s="20" t="s">
        <v>102</v>
      </c>
      <c r="B43" s="21" t="n">
        <v>36583</v>
      </c>
      <c r="C43" s="21" t="n">
        <v>33873</v>
      </c>
      <c r="D43" s="21" t="n">
        <v>33505</v>
      </c>
      <c r="E43" s="21" t="n">
        <v>33643</v>
      </c>
      <c r="F43" s="21" t="n">
        <v>35374</v>
      </c>
    </row>
    <row r="44" customFormat="false" ht="15" hidden="false" customHeight="true" outlineLevel="0" collapsed="false">
      <c r="A44" s="20" t="s">
        <v>103</v>
      </c>
      <c r="B44" s="21" t="n">
        <v>16519</v>
      </c>
      <c r="C44" s="21" t="n">
        <v>11639</v>
      </c>
      <c r="D44" s="24" t="n">
        <v>15846</v>
      </c>
      <c r="E44" s="21" t="n">
        <v>12225</v>
      </c>
      <c r="F44" s="21" t="n">
        <v>11665</v>
      </c>
    </row>
    <row r="46" customFormat="false" ht="18" hidden="false" customHeight="true" outlineLevel="0" collapsed="false">
      <c r="A46" s="12" t="s">
        <v>104</v>
      </c>
      <c r="B46" s="12"/>
      <c r="C46" s="12"/>
      <c r="D46" s="12"/>
      <c r="E46" s="12"/>
      <c r="F46" s="12"/>
    </row>
    <row r="47" customFormat="false" ht="15" hidden="false" customHeight="true" outlineLevel="0" collapsed="false">
      <c r="A47" s="20" t="s">
        <v>105</v>
      </c>
      <c r="B47" s="21" t="n">
        <v>2545</v>
      </c>
      <c r="C47" s="21" t="n">
        <v>602</v>
      </c>
      <c r="D47" s="21" t="n">
        <v>3757</v>
      </c>
      <c r="E47" s="21" t="n">
        <v>3722</v>
      </c>
      <c r="F47" s="21" t="n">
        <v>3839</v>
      </c>
    </row>
    <row r="48" customFormat="false" ht="15" hidden="false" customHeight="true" outlineLevel="0" collapsed="false">
      <c r="A48" s="18" t="s">
        <v>106</v>
      </c>
      <c r="B48" s="19" t="n">
        <v>-1247</v>
      </c>
      <c r="C48" s="19" t="n">
        <v>-1377</v>
      </c>
      <c r="D48" s="19" t="n">
        <v>-1178</v>
      </c>
      <c r="E48" s="19" t="n">
        <v>-1250</v>
      </c>
      <c r="F48" s="19" t="n">
        <v>-1386</v>
      </c>
    </row>
    <row r="49" customFormat="false" ht="15" hidden="false" customHeight="true" outlineLevel="0" collapsed="false">
      <c r="A49" s="18" t="s">
        <v>107</v>
      </c>
      <c r="B49" s="19" t="n">
        <v>2058</v>
      </c>
      <c r="C49" s="19" t="n">
        <v>6171</v>
      </c>
      <c r="D49" s="19" t="n">
        <v>-1735</v>
      </c>
      <c r="E49" s="19" t="n">
        <v>-706</v>
      </c>
      <c r="F49" s="19" t="n">
        <v>-1700</v>
      </c>
    </row>
    <row r="50" customFormat="false" ht="15" hidden="false" customHeight="true" outlineLevel="0" collapsed="false">
      <c r="A50" s="18" t="s">
        <v>108</v>
      </c>
      <c r="B50" s="19" t="n">
        <v>-3601</v>
      </c>
      <c r="C50" s="19" t="n">
        <v>-7841</v>
      </c>
      <c r="D50" s="19" t="n">
        <v>-2234</v>
      </c>
      <c r="E50" s="19" t="n">
        <v>-3188</v>
      </c>
      <c r="F50" s="19" t="n">
        <v>-1859</v>
      </c>
    </row>
    <row r="51" customFormat="false" ht="15" hidden="false" customHeight="true" outlineLevel="0" collapsed="false">
      <c r="A51" s="20" t="s">
        <v>109</v>
      </c>
      <c r="B51" s="21" t="n">
        <v>1002</v>
      </c>
      <c r="C51" s="21" t="n">
        <v>-1068</v>
      </c>
      <c r="D51" s="21" t="n">
        <v>-212</v>
      </c>
      <c r="E51" s="21" t="n">
        <v>-172</v>
      </c>
      <c r="F51" s="21" t="n">
        <v>37</v>
      </c>
    </row>
    <row r="52" customFormat="false" ht="15" hidden="false" customHeight="true" outlineLevel="0" collapsed="false">
      <c r="A52" s="23" t="s">
        <v>110</v>
      </c>
      <c r="B52" s="25" t="n">
        <v>2169</v>
      </c>
      <c r="C52" s="25" t="n">
        <v>1978</v>
      </c>
      <c r="D52" s="25" t="n">
        <v>1771</v>
      </c>
      <c r="E52" s="25" t="n">
        <v>1565</v>
      </c>
      <c r="F52" s="25" t="n">
        <v>1528</v>
      </c>
    </row>
    <row r="53" customFormat="false" ht="15" hidden="false" customHeight="true" outlineLevel="0" collapsed="false">
      <c r="A53" s="20" t="s">
        <v>111</v>
      </c>
      <c r="B53" s="21" t="n">
        <v>1298</v>
      </c>
      <c r="C53" s="21" t="n">
        <v>-775</v>
      </c>
      <c r="D53" s="21" t="n">
        <v>2808</v>
      </c>
      <c r="E53" s="21" t="n">
        <v>2751</v>
      </c>
      <c r="F53" s="21" t="n">
        <v>2731</v>
      </c>
    </row>
    <row r="54" customFormat="false" ht="30" hidden="false" customHeight="true" outlineLevel="0" collapsed="false">
      <c r="A54" s="26" t="s">
        <v>112</v>
      </c>
      <c r="B54" s="26"/>
      <c r="C54" s="26"/>
      <c r="D54" s="26"/>
      <c r="E54" s="26"/>
      <c r="F54" s="26"/>
    </row>
  </sheetData>
  <mergeCells count="7">
    <mergeCell ref="A1:F1"/>
    <mergeCell ref="A2:F2"/>
    <mergeCell ref="A4:F4"/>
    <mergeCell ref="A17:F17"/>
    <mergeCell ref="A23:F23"/>
    <mergeCell ref="A46:F46"/>
    <mergeCell ref="A54:F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I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40"/>
    <col collapsed="false" customWidth="true" hidden="false" outlineLevel="0" max="9" min="2" style="0" width="15"/>
  </cols>
  <sheetData>
    <row r="1" customFormat="false" ht="27.75" hidden="false" customHeight="true" outlineLevel="0" collapsed="false">
      <c r="A1" s="9" t="s">
        <v>113</v>
      </c>
      <c r="B1" s="9"/>
      <c r="C1" s="9"/>
      <c r="D1" s="9"/>
      <c r="E1" s="9"/>
      <c r="F1" s="9"/>
      <c r="G1" s="9"/>
      <c r="H1" s="9"/>
      <c r="I1" s="9"/>
    </row>
    <row r="2" customFormat="false" ht="15" hidden="false" customHeight="true" outlineLevel="0" collapsed="false">
      <c r="A2" s="10" t="s">
        <v>114</v>
      </c>
      <c r="B2" s="10"/>
      <c r="C2" s="10"/>
      <c r="D2" s="10"/>
      <c r="E2" s="10"/>
      <c r="F2" s="10"/>
      <c r="G2" s="10"/>
      <c r="H2" s="10"/>
      <c r="I2" s="10"/>
    </row>
    <row r="3" customFormat="false" ht="19.5" hidden="false" customHeight="true" outlineLevel="0" collapsed="false">
      <c r="B3" s="27" t="s">
        <v>62</v>
      </c>
      <c r="C3" s="27" t="s">
        <v>63</v>
      </c>
      <c r="D3" s="27" t="s">
        <v>64</v>
      </c>
      <c r="E3" s="27" t="s">
        <v>65</v>
      </c>
      <c r="F3" s="27" t="s">
        <v>66</v>
      </c>
      <c r="G3" s="11" t="s">
        <v>33</v>
      </c>
      <c r="H3" s="11" t="s">
        <v>34</v>
      </c>
      <c r="I3" s="11" t="s">
        <v>35</v>
      </c>
    </row>
    <row r="4" customFormat="false" ht="15" hidden="false" customHeight="true" outlineLevel="0" collapsed="false">
      <c r="A4" s="0" t="s">
        <v>115</v>
      </c>
      <c r="B4" s="28"/>
      <c r="C4" s="28"/>
      <c r="D4" s="28"/>
      <c r="E4" s="28"/>
      <c r="F4" s="28" t="s">
        <v>116</v>
      </c>
      <c r="G4" s="29"/>
      <c r="H4" s="29"/>
      <c r="I4" s="29"/>
    </row>
    <row r="5" customFormat="false" ht="15" hidden="false" customHeight="true" outlineLevel="0" collapsed="false">
      <c r="A5" s="23" t="s">
        <v>68</v>
      </c>
      <c r="B5" s="30" t="n">
        <v>58091</v>
      </c>
      <c r="C5" s="30" t="n">
        <v>53440</v>
      </c>
      <c r="D5" s="30" t="n">
        <v>61344</v>
      </c>
      <c r="E5" s="30" t="n">
        <v>65322</v>
      </c>
      <c r="F5" s="30" t="n">
        <v>68187</v>
      </c>
      <c r="G5" s="31" t="n">
        <f aca="false">68187*(1+Assumptions!B5)</f>
        <v>69959.862</v>
      </c>
      <c r="H5" s="31" t="n">
        <f aca="false">G5*(1+Assumptions!C5)</f>
        <v>71359.05924</v>
      </c>
      <c r="I5" s="31" t="n">
        <f aca="false">H5*(1+Assumptions!D5)</f>
        <v>72786.2404248</v>
      </c>
    </row>
    <row r="6" customFormat="false" ht="15" hidden="false" customHeight="true" outlineLevel="0" collapsed="false">
      <c r="A6" s="18" t="s">
        <v>69</v>
      </c>
      <c r="B6" s="19" t="n">
        <v>53640</v>
      </c>
      <c r="C6" s="19" t="n">
        <v>49384</v>
      </c>
      <c r="D6" s="19" t="n">
        <v>56750</v>
      </c>
      <c r="E6" s="19" t="n">
        <v>61961</v>
      </c>
      <c r="F6" s="19" t="n">
        <v>63338</v>
      </c>
      <c r="G6" s="32" t="n">
        <f aca="false">G5*(1-Assumptions!B6)</f>
        <v>64992.711798</v>
      </c>
      <c r="H6" s="32" t="n">
        <f aca="false">H5*(1-Assumptions!C6)</f>
        <v>66292.56603396</v>
      </c>
      <c r="I6" s="32" t="n">
        <f aca="false">I5*(1-Assumptions!D6)</f>
        <v>67545.6311142144</v>
      </c>
    </row>
    <row r="7" customFormat="false" ht="15" hidden="false" customHeight="true" outlineLevel="0" collapsed="false">
      <c r="A7" s="20" t="s">
        <v>70</v>
      </c>
      <c r="B7" s="24" t="n">
        <v>4451</v>
      </c>
      <c r="C7" s="24" t="n">
        <v>4056</v>
      </c>
      <c r="D7" s="24" t="n">
        <v>4594</v>
      </c>
      <c r="E7" s="24" t="n">
        <v>3361</v>
      </c>
      <c r="F7" s="24" t="n">
        <v>4849</v>
      </c>
      <c r="G7" s="33" t="n">
        <f aca="false">G5-G6</f>
        <v>4967.150202</v>
      </c>
      <c r="H7" s="33" t="n">
        <f aca="false">H5-H6</f>
        <v>5066.49320604</v>
      </c>
      <c r="I7" s="33" t="n">
        <f aca="false">I5-I6</f>
        <v>5240.6093105856</v>
      </c>
    </row>
    <row r="8" customFormat="false" ht="15" hidden="false" customHeight="true" outlineLevel="0" collapsed="false">
      <c r="A8" s="13" t="s">
        <v>117</v>
      </c>
      <c r="B8" s="34" t="n">
        <v>0.0766211633471622</v>
      </c>
      <c r="C8" s="34" t="n">
        <v>0.0758982035928144</v>
      </c>
      <c r="D8" s="34" t="n">
        <v>0.0748891497130934</v>
      </c>
      <c r="E8" s="34" t="n">
        <v>0.0514528030372616</v>
      </c>
      <c r="F8" s="34" t="n">
        <v>0.0711132620587502</v>
      </c>
      <c r="G8" s="35" t="n">
        <f aca="false">G7/G5</f>
        <v>0.071</v>
      </c>
      <c r="H8" s="35" t="n">
        <f aca="false">H7/H5</f>
        <v>0.071</v>
      </c>
      <c r="I8" s="35" t="n">
        <f aca="false">I7/I5</f>
        <v>0.072</v>
      </c>
    </row>
    <row r="9" customFormat="false" ht="15" hidden="false" customHeight="true" outlineLevel="0" collapsed="false">
      <c r="A9" s="18" t="s">
        <v>71</v>
      </c>
      <c r="B9" s="19" t="n">
        <v>2285</v>
      </c>
      <c r="C9" s="19" t="n">
        <v>2063</v>
      </c>
      <c r="D9" s="19" t="n">
        <v>2073</v>
      </c>
      <c r="E9" s="19" t="n">
        <v>1951</v>
      </c>
      <c r="F9" s="19" t="n">
        <v>2028</v>
      </c>
      <c r="G9" s="32" t="n">
        <f aca="false">G5*Assumptions!B7</f>
        <v>2098.79586</v>
      </c>
      <c r="H9" s="32" t="n">
        <f aca="false">H5*Assumptions!C7</f>
        <v>2140.7717772</v>
      </c>
      <c r="I9" s="32" t="n">
        <f aca="false">I5*Assumptions!D7</f>
        <v>2183.587212744</v>
      </c>
    </row>
    <row r="10" customFormat="false" ht="15" hidden="false" customHeight="true" outlineLevel="0" collapsed="false">
      <c r="A10" s="20" t="s">
        <v>72</v>
      </c>
      <c r="B10" s="24" t="n">
        <v>4278</v>
      </c>
      <c r="C10" s="24" t="n">
        <v>4050</v>
      </c>
      <c r="D10" s="24" t="n">
        <v>4278</v>
      </c>
      <c r="E10" s="24" t="n">
        <v>3110</v>
      </c>
      <c r="F10" s="24" t="n">
        <v>4544</v>
      </c>
      <c r="G10" s="33" t="n">
        <f aca="false">G5*Assumptions!B8</f>
        <v>4617.350892</v>
      </c>
      <c r="H10" s="33" t="n">
        <f aca="false">H5*Assumptions!C8</f>
        <v>4709.69790984</v>
      </c>
      <c r="I10" s="33" t="n">
        <f aca="false">I5*Assumptions!D8</f>
        <v>4876.6781084616</v>
      </c>
    </row>
    <row r="11" customFormat="false" ht="15" hidden="false" customHeight="true" outlineLevel="0" collapsed="false">
      <c r="A11" s="13" t="s">
        <v>118</v>
      </c>
      <c r="B11" s="34" t="n">
        <v>0.0736430772408807</v>
      </c>
      <c r="C11" s="34" t="n">
        <v>0.0757859281437126</v>
      </c>
      <c r="D11" s="34" t="n">
        <v>0.0697378716744914</v>
      </c>
      <c r="E11" s="34" t="n">
        <v>0.0476102997458743</v>
      </c>
      <c r="F11" s="34" t="n">
        <v>0.0666402686729142</v>
      </c>
      <c r="G11" s="35" t="n">
        <f aca="false">G10/G5</f>
        <v>0.066</v>
      </c>
      <c r="H11" s="35" t="n">
        <f aca="false">H10/H5</f>
        <v>0.066</v>
      </c>
      <c r="I11" s="35" t="n">
        <f aca="false">I10/I5</f>
        <v>0.067</v>
      </c>
    </row>
    <row r="12" customFormat="false" ht="15" hidden="false" customHeight="true" outlineLevel="0" collapsed="false">
      <c r="A12" s="18" t="s">
        <v>119</v>
      </c>
      <c r="B12" s="19" t="n">
        <v>2112</v>
      </c>
      <c r="C12" s="19" t="n">
        <v>2057</v>
      </c>
      <c r="D12" s="19" t="n">
        <v>1718</v>
      </c>
      <c r="E12" s="19" t="n">
        <v>1700</v>
      </c>
      <c r="F12" s="19" t="n">
        <v>1723</v>
      </c>
      <c r="G12" s="32" t="n">
        <f aca="false">Assumptions!B21</f>
        <v>1720</v>
      </c>
      <c r="H12" s="32" t="n">
        <f aca="false">Assumptions!C21</f>
        <v>1750</v>
      </c>
      <c r="I12" s="32" t="n">
        <f aca="false">Assumptions!D21</f>
        <v>1780</v>
      </c>
    </row>
    <row r="13" customFormat="false" ht="15" hidden="false" customHeight="true" outlineLevel="0" collapsed="false">
      <c r="A13" s="20" t="s">
        <v>73</v>
      </c>
      <c r="B13" s="24" t="n">
        <v>2166</v>
      </c>
      <c r="C13" s="24" t="n">
        <v>1993</v>
      </c>
      <c r="D13" s="24" t="n">
        <v>2560</v>
      </c>
      <c r="E13" s="24" t="n">
        <v>1410</v>
      </c>
      <c r="F13" s="24" t="n">
        <v>2821</v>
      </c>
      <c r="G13" s="33" t="n">
        <f aca="false">G10-G12</f>
        <v>2897.350892</v>
      </c>
      <c r="H13" s="33" t="n">
        <f aca="false">H10-H12</f>
        <v>2959.69790984</v>
      </c>
      <c r="I13" s="33" t="n">
        <f aca="false">I10-I12</f>
        <v>3096.6781084616</v>
      </c>
    </row>
    <row r="14" customFormat="false" ht="15" hidden="false" customHeight="true" outlineLevel="0" collapsed="false">
      <c r="A14" s="13" t="s">
        <v>120</v>
      </c>
      <c r="B14" s="34" t="n">
        <v>0.0372863266254669</v>
      </c>
      <c r="C14" s="34" t="n">
        <v>0.0372941616766467</v>
      </c>
      <c r="D14" s="34" t="n">
        <v>0.0417318727177882</v>
      </c>
      <c r="E14" s="34" t="n">
        <v>0.0215853770552035</v>
      </c>
      <c r="F14" s="34" t="n">
        <v>0.0413715224309619</v>
      </c>
      <c r="G14" s="35" t="n">
        <f aca="false">G13/G5</f>
        <v>0.0414144740880135</v>
      </c>
      <c r="H14" s="35" t="n">
        <f aca="false">H13/H5</f>
        <v>0.0414761340937207</v>
      </c>
      <c r="I14" s="35" t="n">
        <f aca="false">I13/I5</f>
        <v>0.0425448283959792</v>
      </c>
    </row>
    <row r="15" customFormat="false" ht="15" hidden="false" customHeight="true" outlineLevel="0" collapsed="false">
      <c r="A15" s="18" t="s">
        <v>74</v>
      </c>
      <c r="B15" s="19" t="n">
        <v>76</v>
      </c>
      <c r="C15" s="19" t="n">
        <v>48</v>
      </c>
      <c r="D15" s="19" t="n">
        <v>9</v>
      </c>
      <c r="E15" s="19" t="n">
        <v>87</v>
      </c>
      <c r="F15" s="19" t="n">
        <v>267</v>
      </c>
      <c r="G15" s="32" t="n">
        <f aca="false">Assumptions!B10</f>
        <v>270</v>
      </c>
      <c r="H15" s="32" t="n">
        <f aca="false">Assumptions!C10</f>
        <v>265</v>
      </c>
      <c r="I15" s="32" t="n">
        <f aca="false">Assumptions!D10</f>
        <v>260</v>
      </c>
    </row>
    <row r="16" customFormat="false" ht="15" hidden="false" customHeight="true" outlineLevel="0" collapsed="false">
      <c r="A16" s="18" t="s">
        <v>75</v>
      </c>
      <c r="B16" s="19" t="n">
        <v>574</v>
      </c>
      <c r="C16" s="19" t="n">
        <v>517</v>
      </c>
      <c r="D16" s="19" t="n">
        <v>551</v>
      </c>
      <c r="E16" s="19" t="n">
        <v>623</v>
      </c>
      <c r="F16" s="19" t="n">
        <v>805</v>
      </c>
      <c r="G16" s="32" t="n">
        <f aca="false">Assumptions!B11</f>
        <v>790</v>
      </c>
      <c r="H16" s="32" t="n">
        <f aca="false">Assumptions!C11</f>
        <v>780</v>
      </c>
      <c r="I16" s="32" t="n">
        <f aca="false">Assumptions!D11</f>
        <v>770</v>
      </c>
    </row>
    <row r="17" customFormat="false" ht="15" hidden="false" customHeight="true" outlineLevel="0" collapsed="false">
      <c r="A17" s="20" t="s">
        <v>76</v>
      </c>
      <c r="B17" s="24" t="n">
        <v>1668</v>
      </c>
      <c r="C17" s="24" t="n">
        <v>1524</v>
      </c>
      <c r="D17" s="24" t="n">
        <v>2033</v>
      </c>
      <c r="E17" s="24" t="n">
        <v>882</v>
      </c>
      <c r="F17" s="24" t="n">
        <v>2289</v>
      </c>
      <c r="G17" s="33" t="n">
        <f aca="false">G13+G15-G16</f>
        <v>2377.350892</v>
      </c>
      <c r="H17" s="33" t="n">
        <f aca="false">H13+H15-H16</f>
        <v>2444.69790984</v>
      </c>
      <c r="I17" s="33" t="n">
        <f aca="false">I13+I15-I16</f>
        <v>2586.6781084616</v>
      </c>
    </row>
    <row r="18" customFormat="false" ht="15" hidden="false" customHeight="true" outlineLevel="0" collapsed="false">
      <c r="A18" s="18" t="s">
        <v>77</v>
      </c>
      <c r="B18" s="19" t="n">
        <v>458</v>
      </c>
      <c r="C18" s="19" t="n">
        <v>359</v>
      </c>
      <c r="D18" s="19" t="n">
        <v>510</v>
      </c>
      <c r="E18" s="19" t="n">
        <v>224</v>
      </c>
      <c r="F18" s="19" t="n">
        <v>525</v>
      </c>
      <c r="G18" s="32" t="n">
        <f aca="false">G17*Assumptions!B12</f>
        <v>606.22447746</v>
      </c>
      <c r="H18" s="32" t="n">
        <f aca="false">H17*Assumptions!C12</f>
        <v>623.3979670092</v>
      </c>
      <c r="I18" s="32" t="n">
        <f aca="false">I17*Assumptions!D12</f>
        <v>659.602917657709</v>
      </c>
    </row>
    <row r="19" customFormat="false" ht="15" hidden="false" customHeight="true" outlineLevel="0" collapsed="false">
      <c r="A19" s="20" t="s">
        <v>121</v>
      </c>
      <c r="B19" s="24" t="n">
        <v>1210</v>
      </c>
      <c r="C19" s="24" t="n">
        <v>1165</v>
      </c>
      <c r="D19" s="24" t="n">
        <v>1481</v>
      </c>
      <c r="E19" s="24" t="n">
        <v>737</v>
      </c>
      <c r="F19" s="24" t="n">
        <v>1188</v>
      </c>
      <c r="G19" s="33" t="n">
        <f aca="false">G17-G18</f>
        <v>1771.12641454</v>
      </c>
      <c r="H19" s="33" t="n">
        <f aca="false">H17-H18</f>
        <v>1821.2999428308</v>
      </c>
      <c r="I19" s="33" t="n">
        <f aca="false">I17-I18</f>
        <v>1927.07519080389</v>
      </c>
    </row>
    <row r="20" customFormat="false" ht="15" hidden="false" customHeight="true" outlineLevel="0" collapsed="false">
      <c r="A20" s="13" t="s">
        <v>122</v>
      </c>
      <c r="B20" s="34" t="n">
        <v>0.0208293883734141</v>
      </c>
      <c r="C20" s="34" t="n">
        <v>0.0218001497005988</v>
      </c>
      <c r="D20" s="34" t="n">
        <v>0.0241425404277517</v>
      </c>
      <c r="E20" s="34" t="n">
        <v>0.0112825694253085</v>
      </c>
      <c r="F20" s="34" t="n">
        <v>0.0174226758766334</v>
      </c>
      <c r="G20" s="35" t="n">
        <f aca="false">G19/G5</f>
        <v>0.0253163223012075</v>
      </c>
      <c r="H20" s="35" t="n">
        <f aca="false">H19/H5</f>
        <v>0.025523037470341</v>
      </c>
      <c r="I20" s="35" t="n">
        <f aca="false">I19/I5</f>
        <v>0.0264758171263822</v>
      </c>
    </row>
    <row r="21" customFormat="false" ht="15" hidden="false" customHeight="true" outlineLevel="0" collapsed="false">
      <c r="A21" s="36" t="s">
        <v>123</v>
      </c>
    </row>
    <row r="22" customFormat="false" ht="30" hidden="false" customHeight="true" outlineLevel="0" collapsed="false">
      <c r="A22" s="26" t="s">
        <v>124</v>
      </c>
      <c r="B22" s="26"/>
      <c r="C22" s="26"/>
      <c r="D22" s="26"/>
      <c r="E22" s="26"/>
      <c r="F22" s="26"/>
      <c r="G22" s="26"/>
      <c r="H22" s="26"/>
      <c r="I22" s="26"/>
    </row>
  </sheetData>
  <mergeCells count="3">
    <mergeCell ref="A1:I1"/>
    <mergeCell ref="A2:I2"/>
    <mergeCell ref="A22:I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I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42"/>
    <col collapsed="false" customWidth="true" hidden="false" outlineLevel="0" max="9" min="2" style="0" width="15"/>
  </cols>
  <sheetData>
    <row r="1" customFormat="false" ht="27.75" hidden="false" customHeight="true" outlineLevel="0" collapsed="false">
      <c r="A1" s="9" t="s">
        <v>125</v>
      </c>
      <c r="B1" s="9"/>
      <c r="C1" s="9"/>
      <c r="D1" s="9"/>
      <c r="E1" s="9"/>
      <c r="F1" s="9"/>
      <c r="G1" s="9"/>
      <c r="H1" s="9"/>
      <c r="I1" s="9"/>
    </row>
    <row r="2" customFormat="false" ht="15" hidden="false" customHeight="true" outlineLevel="0" collapsed="false">
      <c r="A2" s="10" t="s">
        <v>126</v>
      </c>
      <c r="B2" s="10"/>
      <c r="C2" s="10"/>
      <c r="D2" s="10"/>
      <c r="E2" s="10"/>
      <c r="F2" s="10"/>
      <c r="G2" s="10"/>
      <c r="H2" s="10"/>
      <c r="I2" s="10"/>
    </row>
    <row r="3" customFormat="false" ht="19.5" hidden="false" customHeight="true" outlineLevel="0" collapsed="false">
      <c r="B3" s="27" t="s">
        <v>62</v>
      </c>
      <c r="C3" s="27" t="s">
        <v>63</v>
      </c>
      <c r="D3" s="27" t="s">
        <v>64</v>
      </c>
      <c r="E3" s="27" t="s">
        <v>65</v>
      </c>
      <c r="F3" s="27" t="s">
        <v>66</v>
      </c>
      <c r="G3" s="11" t="s">
        <v>33</v>
      </c>
      <c r="H3" s="11" t="s">
        <v>34</v>
      </c>
      <c r="I3" s="11" t="s">
        <v>35</v>
      </c>
    </row>
    <row r="4" customFormat="false" ht="15" hidden="false" customHeight="true" outlineLevel="0" collapsed="false">
      <c r="A4" s="12" t="s">
        <v>127</v>
      </c>
      <c r="B4" s="12"/>
      <c r="C4" s="12"/>
      <c r="D4" s="12"/>
      <c r="E4" s="12"/>
      <c r="F4" s="12"/>
      <c r="G4" s="12"/>
      <c r="H4" s="12"/>
      <c r="I4" s="12"/>
    </row>
    <row r="5" customFormat="false" ht="15" hidden="false" customHeight="true" outlineLevel="0" collapsed="false">
      <c r="A5" s="18" t="s">
        <v>84</v>
      </c>
      <c r="B5" s="19" t="n">
        <v>2169</v>
      </c>
      <c r="C5" s="19" t="n">
        <v>1978</v>
      </c>
      <c r="D5" s="19" t="n">
        <v>1771</v>
      </c>
      <c r="E5" s="19" t="n">
        <v>1565</v>
      </c>
      <c r="F5" s="19" t="n">
        <v>1528</v>
      </c>
      <c r="G5" s="32" t="n">
        <f aca="false">1528*(1.01)</f>
        <v>1543.28</v>
      </c>
      <c r="H5" s="32" t="n">
        <f aca="false">1528*(1.02)</f>
        <v>1558.56</v>
      </c>
      <c r="I5" s="32" t="n">
        <f aca="false">1528*(1.03)</f>
        <v>1573.84</v>
      </c>
    </row>
    <row r="6" customFormat="false" ht="15" hidden="false" customHeight="true" outlineLevel="0" collapsed="false">
      <c r="A6" s="18" t="s">
        <v>85</v>
      </c>
      <c r="B6" s="19" t="n">
        <v>2177</v>
      </c>
      <c r="C6" s="19" t="n">
        <v>1970</v>
      </c>
      <c r="D6" s="19" t="n">
        <v>2073</v>
      </c>
      <c r="E6" s="19" t="n">
        <v>2275</v>
      </c>
      <c r="F6" s="19" t="n">
        <v>2348</v>
      </c>
      <c r="G6" s="32" t="n">
        <f aca="false">'Income Statement'!G6*Assumptions!B15/365</f>
        <v>2492.87113745753</v>
      </c>
      <c r="H6" s="32" t="n">
        <f aca="false">'Income Statement'!H6*Assumptions!C15/365</f>
        <v>2542.72856020669</v>
      </c>
      <c r="I6" s="32" t="n">
        <f aca="false">'Income Statement'!I6*Assumptions!D15/365</f>
        <v>2590.79133040822</v>
      </c>
    </row>
    <row r="7" customFormat="false" ht="15" hidden="false" customHeight="true" outlineLevel="0" collapsed="false">
      <c r="A7" s="18" t="s">
        <v>86</v>
      </c>
      <c r="B7" s="19" t="n">
        <v>813</v>
      </c>
      <c r="C7" s="19" t="n">
        <v>801</v>
      </c>
      <c r="D7" s="19" t="n">
        <v>902</v>
      </c>
      <c r="E7" s="19" t="n">
        <v>909</v>
      </c>
      <c r="F7" s="19" t="n">
        <v>919</v>
      </c>
      <c r="G7" s="32" t="n">
        <f aca="false">'Income Statement'!G5*Assumptions!B16/365</f>
        <v>958.354273972603</v>
      </c>
      <c r="H7" s="32" t="n">
        <f aca="false">'Income Statement'!H5*Assumptions!C16/365</f>
        <v>977.521359452055</v>
      </c>
      <c r="I7" s="32" t="n">
        <f aca="false">'Income Statement'!I5*Assumptions!D16/365</f>
        <v>997.071786641096</v>
      </c>
    </row>
    <row r="8" customFormat="false" ht="15" hidden="false" customHeight="true" outlineLevel="0" collapsed="false">
      <c r="A8" s="18" t="s">
        <v>87</v>
      </c>
      <c r="B8" s="19" t="n">
        <v>1050</v>
      </c>
      <c r="C8" s="19" t="n">
        <v>920</v>
      </c>
      <c r="D8" s="19" t="n">
        <v>884</v>
      </c>
      <c r="E8" s="19" t="n">
        <v>974</v>
      </c>
      <c r="F8" s="19" t="n">
        <v>1012</v>
      </c>
      <c r="G8" s="32" t="n">
        <f aca="false">1012</f>
        <v>1012</v>
      </c>
      <c r="H8" s="32" t="n">
        <f aca="false">1012</f>
        <v>1012</v>
      </c>
      <c r="I8" s="32" t="n">
        <f aca="false">1012</f>
        <v>1012</v>
      </c>
    </row>
    <row r="9" customFormat="false" ht="15" hidden="false" customHeight="true" outlineLevel="0" collapsed="false">
      <c r="A9" s="20" t="s">
        <v>88</v>
      </c>
      <c r="B9" s="24" t="n">
        <v>6209</v>
      </c>
      <c r="C9" s="24" t="n">
        <v>5669</v>
      </c>
      <c r="D9" s="24" t="n">
        <v>5630</v>
      </c>
      <c r="E9" s="24" t="n">
        <v>5723</v>
      </c>
      <c r="F9" s="24" t="n">
        <v>5807</v>
      </c>
      <c r="G9" s="33" t="n">
        <f aca="false">G5+G6+G7+G8</f>
        <v>6006.50541143014</v>
      </c>
      <c r="H9" s="33" t="n">
        <f aca="false">H5+H6+H7+H8</f>
        <v>6090.80991965874</v>
      </c>
      <c r="I9" s="33" t="n">
        <f aca="false">I5+I6+I7+I8</f>
        <v>6173.70311704932</v>
      </c>
    </row>
    <row r="10" customFormat="false" ht="15" hidden="false" customHeight="true" outlineLevel="0" collapsed="false">
      <c r="A10" s="18" t="s">
        <v>89</v>
      </c>
      <c r="B10" s="19" t="n">
        <v>10002</v>
      </c>
      <c r="C10" s="19" t="n">
        <v>9826</v>
      </c>
      <c r="D10" s="19" t="n">
        <v>10093</v>
      </c>
      <c r="E10" s="19" t="n">
        <v>9830</v>
      </c>
      <c r="F10" s="19" t="n">
        <v>9681</v>
      </c>
      <c r="G10" s="32" t="n">
        <f aca="false">9681-300</f>
        <v>9381</v>
      </c>
      <c r="H10" s="32" t="n">
        <f aca="false">9381-300</f>
        <v>9081</v>
      </c>
      <c r="I10" s="32" t="n">
        <f aca="false">9081-300</f>
        <v>8781</v>
      </c>
    </row>
    <row r="11" customFormat="false" ht="15" hidden="false" customHeight="true" outlineLevel="0" collapsed="false">
      <c r="A11" s="18" t="s">
        <v>90</v>
      </c>
      <c r="B11" s="19" t="n">
        <v>2789</v>
      </c>
      <c r="C11" s="19" t="n">
        <v>2658</v>
      </c>
      <c r="D11" s="19" t="n">
        <v>2665</v>
      </c>
      <c r="E11" s="19" t="n">
        <v>2558</v>
      </c>
      <c r="F11" s="19" t="n">
        <v>2568</v>
      </c>
      <c r="G11" s="32" t="n">
        <f aca="false">2568</f>
        <v>2568</v>
      </c>
      <c r="H11" s="32" t="n">
        <f aca="false">2568</f>
        <v>2568</v>
      </c>
      <c r="I11" s="32" t="n">
        <f aca="false">2568</f>
        <v>2568</v>
      </c>
    </row>
    <row r="12" customFormat="false" ht="15" hidden="false" customHeight="true" outlineLevel="0" collapsed="false">
      <c r="A12" s="18" t="s">
        <v>91</v>
      </c>
      <c r="B12" s="19" t="n">
        <v>10421</v>
      </c>
      <c r="C12" s="19" t="n">
        <v>10126</v>
      </c>
      <c r="D12" s="19" t="n">
        <v>9986</v>
      </c>
      <c r="E12" s="19" t="n">
        <v>9897</v>
      </c>
      <c r="F12" s="19" t="n">
        <v>9831</v>
      </c>
      <c r="G12" s="32" t="n">
        <f aca="false">9831-50</f>
        <v>9781</v>
      </c>
      <c r="H12" s="32" t="n">
        <f aca="false">9781-50</f>
        <v>9731</v>
      </c>
      <c r="I12" s="32" t="n">
        <f aca="false">9731-50</f>
        <v>9681</v>
      </c>
    </row>
    <row r="13" customFormat="false" ht="15" hidden="false" customHeight="true" outlineLevel="0" collapsed="false">
      <c r="A13" s="18" t="s">
        <v>92</v>
      </c>
      <c r="B13" s="19" t="n">
        <v>15091</v>
      </c>
      <c r="C13" s="19" t="n">
        <v>17233</v>
      </c>
      <c r="D13" s="19" t="n">
        <v>20977</v>
      </c>
      <c r="E13" s="19" t="n">
        <v>17860</v>
      </c>
      <c r="F13" s="19" t="n">
        <v>19152</v>
      </c>
      <c r="G13" s="32" t="n">
        <f aca="false">19152</f>
        <v>19152</v>
      </c>
      <c r="H13" s="32" t="n">
        <f aca="false">19152</f>
        <v>19152</v>
      </c>
      <c r="I13" s="32" t="n">
        <f aca="false">19152</f>
        <v>19152</v>
      </c>
    </row>
    <row r="14" customFormat="false" ht="15" hidden="false" customHeight="true" outlineLevel="0" collapsed="false">
      <c r="A14" s="20" t="s">
        <v>93</v>
      </c>
      <c r="B14" s="24" t="n">
        <v>53102</v>
      </c>
      <c r="C14" s="24" t="n">
        <v>45512</v>
      </c>
      <c r="D14" s="24" t="n">
        <v>49351</v>
      </c>
      <c r="E14" s="24" t="n">
        <v>45868</v>
      </c>
      <c r="F14" s="24" t="n">
        <v>47039</v>
      </c>
      <c r="G14" s="33" t="n">
        <f aca="false">G9+G10+G11+G12+G13</f>
        <v>46888.5054114301</v>
      </c>
      <c r="H14" s="33" t="n">
        <f aca="false">H9+H10+H11+H12+H13</f>
        <v>46622.8099196587</v>
      </c>
      <c r="I14" s="33" t="n">
        <f aca="false">I9+I10+I11+I12+I13</f>
        <v>46355.7031170493</v>
      </c>
    </row>
    <row r="16" customFormat="false" ht="15" hidden="false" customHeight="true" outlineLevel="0" collapsed="false">
      <c r="A16" s="12" t="s">
        <v>128</v>
      </c>
      <c r="B16" s="12"/>
      <c r="C16" s="12"/>
      <c r="D16" s="12"/>
      <c r="E16" s="12"/>
      <c r="F16" s="12"/>
      <c r="G16" s="12"/>
      <c r="H16" s="12"/>
      <c r="I16" s="12"/>
    </row>
    <row r="17" customFormat="false" ht="15" hidden="false" customHeight="true" outlineLevel="0" collapsed="false">
      <c r="A17" s="18" t="s">
        <v>95</v>
      </c>
      <c r="B17" s="19" t="n">
        <v>5675</v>
      </c>
      <c r="C17" s="19" t="n">
        <v>5379</v>
      </c>
      <c r="D17" s="19" t="n">
        <v>6032</v>
      </c>
      <c r="E17" s="19" t="n">
        <v>6540</v>
      </c>
      <c r="F17" s="19" t="n">
        <v>6658</v>
      </c>
      <c r="G17" s="32" t="n">
        <f aca="false">'Income Statement'!G6*Assumptions!B17/365</f>
        <v>6766.36451595617</v>
      </c>
      <c r="H17" s="32" t="n">
        <f aca="false">'Income Statement'!H6*Assumptions!C17/365</f>
        <v>6901.69180627529</v>
      </c>
      <c r="I17" s="32" t="n">
        <f aca="false">'Income Statement'!I6*Assumptions!D17/365</f>
        <v>7032.14789682232</v>
      </c>
    </row>
    <row r="18" customFormat="false" ht="15" hidden="false" customHeight="true" outlineLevel="0" collapsed="false">
      <c r="A18" s="18" t="s">
        <v>96</v>
      </c>
      <c r="B18" s="19" t="n">
        <v>986</v>
      </c>
      <c r="C18" s="19" t="n">
        <v>1184</v>
      </c>
      <c r="D18" s="19" t="n">
        <v>758</v>
      </c>
      <c r="E18" s="19" t="n">
        <v>773</v>
      </c>
      <c r="F18" s="19" t="n">
        <v>881</v>
      </c>
      <c r="G18" s="32" t="n">
        <f aca="false">881</f>
        <v>881</v>
      </c>
      <c r="H18" s="32" t="n">
        <f aca="false">881</f>
        <v>881</v>
      </c>
      <c r="I18" s="32" t="n">
        <f aca="false">881</f>
        <v>881</v>
      </c>
    </row>
    <row r="19" customFormat="false" ht="15" hidden="false" customHeight="true" outlineLevel="0" collapsed="false">
      <c r="A19" s="18" t="s">
        <v>97</v>
      </c>
      <c r="B19" s="19" t="n">
        <v>4882</v>
      </c>
      <c r="C19" s="19" t="n">
        <v>4506</v>
      </c>
      <c r="D19" s="19" t="n">
        <v>4848</v>
      </c>
      <c r="E19" s="19" t="n">
        <v>4571</v>
      </c>
      <c r="F19" s="19" t="n">
        <v>4734</v>
      </c>
      <c r="G19" s="32" t="n">
        <f aca="false">4734</f>
        <v>4734</v>
      </c>
      <c r="H19" s="32" t="n">
        <f aca="false">4734</f>
        <v>4734</v>
      </c>
      <c r="I19" s="32" t="n">
        <f aca="false">4734</f>
        <v>4734</v>
      </c>
    </row>
    <row r="20" customFormat="false" ht="15" hidden="false" customHeight="true" outlineLevel="0" collapsed="false">
      <c r="A20" s="20" t="s">
        <v>98</v>
      </c>
      <c r="B20" s="24" t="n">
        <v>11543</v>
      </c>
      <c r="C20" s="24" t="n">
        <v>11069</v>
      </c>
      <c r="D20" s="24" t="n">
        <v>11638</v>
      </c>
      <c r="E20" s="24" t="n">
        <v>11884</v>
      </c>
      <c r="F20" s="24" t="n">
        <v>12273</v>
      </c>
      <c r="G20" s="33" t="n">
        <f aca="false">G17+G18+G19</f>
        <v>12381.3645159562</v>
      </c>
      <c r="H20" s="33" t="n">
        <f aca="false">H17+H18+H19</f>
        <v>12516.6918062753</v>
      </c>
      <c r="I20" s="33" t="n">
        <f aca="false">I17+I18+I19</f>
        <v>12647.1478968223</v>
      </c>
    </row>
    <row r="21" customFormat="false" ht="15" hidden="false" customHeight="true" outlineLevel="0" collapsed="false">
      <c r="A21" s="18" t="s">
        <v>99</v>
      </c>
      <c r="B21" s="19" t="n">
        <v>11238</v>
      </c>
      <c r="C21" s="19" t="n">
        <v>9856</v>
      </c>
      <c r="D21" s="19" t="n">
        <v>10869</v>
      </c>
      <c r="E21" s="19" t="n">
        <v>9963</v>
      </c>
      <c r="F21" s="19" t="n">
        <v>9591</v>
      </c>
      <c r="G21" s="32" t="n">
        <f aca="false">9200</f>
        <v>9200</v>
      </c>
      <c r="H21" s="32" t="n">
        <f aca="false">8900</f>
        <v>8900</v>
      </c>
      <c r="I21" s="32" t="n">
        <f aca="false">8600</f>
        <v>8600</v>
      </c>
    </row>
    <row r="22" customFormat="false" ht="15" hidden="false" customHeight="true" outlineLevel="0" collapsed="false">
      <c r="A22" s="18" t="s">
        <v>100</v>
      </c>
      <c r="B22" s="19" t="n">
        <v>10682</v>
      </c>
      <c r="C22" s="19" t="n">
        <v>10126</v>
      </c>
      <c r="D22" s="19" t="n">
        <v>9986</v>
      </c>
      <c r="E22" s="19" t="n">
        <v>9897</v>
      </c>
      <c r="F22" s="19" t="n">
        <v>9831</v>
      </c>
      <c r="G22" s="32" t="n">
        <f aca="false">9781</f>
        <v>9781</v>
      </c>
      <c r="H22" s="32" t="n">
        <f aca="false">9731</f>
        <v>9731</v>
      </c>
      <c r="I22" s="32" t="n">
        <f aca="false">9681</f>
        <v>9681</v>
      </c>
    </row>
    <row r="23" customFormat="false" ht="15" hidden="false" customHeight="true" outlineLevel="0" collapsed="false">
      <c r="A23" s="18" t="s">
        <v>101</v>
      </c>
      <c r="B23" s="19" t="n">
        <v>3120</v>
      </c>
      <c r="C23" s="19" t="n">
        <v>2822</v>
      </c>
      <c r="D23" s="19" t="n">
        <v>1869</v>
      </c>
      <c r="E23" s="19" t="n">
        <v>2099</v>
      </c>
      <c r="F23" s="19" t="n">
        <v>3679</v>
      </c>
      <c r="G23" s="32" t="n">
        <f aca="false">3679</f>
        <v>3679</v>
      </c>
      <c r="H23" s="32" t="n">
        <f aca="false">3679</f>
        <v>3679</v>
      </c>
      <c r="I23" s="32" t="n">
        <f aca="false">3679</f>
        <v>3679</v>
      </c>
    </row>
    <row r="24" customFormat="false" ht="15" hidden="false" customHeight="true" outlineLevel="0" collapsed="false">
      <c r="A24" s="20" t="s">
        <v>102</v>
      </c>
      <c r="B24" s="24" t="n">
        <v>36583</v>
      </c>
      <c r="C24" s="24" t="n">
        <v>33873</v>
      </c>
      <c r="D24" s="24" t="n">
        <v>33505</v>
      </c>
      <c r="E24" s="24" t="n">
        <v>33643</v>
      </c>
      <c r="F24" s="24" t="n">
        <v>35374</v>
      </c>
      <c r="G24" s="33" t="n">
        <f aca="false">G20+G21+G22+G23</f>
        <v>35041.3645159562</v>
      </c>
      <c r="H24" s="33" t="n">
        <f aca="false">H20+H21+H22+H23</f>
        <v>34826.6918062753</v>
      </c>
      <c r="I24" s="33" t="n">
        <f aca="false">I20+I21+I22+I23</f>
        <v>34607.1478968223</v>
      </c>
    </row>
    <row r="26" customFormat="false" ht="15" hidden="false" customHeight="true" outlineLevel="0" collapsed="false">
      <c r="A26" s="12" t="s">
        <v>129</v>
      </c>
      <c r="B26" s="12"/>
      <c r="C26" s="12"/>
      <c r="D26" s="12"/>
      <c r="E26" s="12"/>
      <c r="F26" s="12"/>
      <c r="G26" s="12"/>
      <c r="H26" s="12"/>
      <c r="I26" s="12"/>
    </row>
    <row r="27" customFormat="false" ht="15" hidden="false" customHeight="true" outlineLevel="0" collapsed="false">
      <c r="A27" s="20" t="s">
        <v>103</v>
      </c>
      <c r="B27" s="24" t="n">
        <v>16519</v>
      </c>
      <c r="C27" s="24" t="n">
        <v>11639</v>
      </c>
      <c r="D27" s="24" t="n">
        <v>15848</v>
      </c>
      <c r="E27" s="24" t="n">
        <v>12225</v>
      </c>
      <c r="F27" s="24" t="n">
        <v>11665</v>
      </c>
      <c r="G27" s="33" t="n">
        <f aca="false">G14-G24</f>
        <v>11847.140895474</v>
      </c>
      <c r="H27" s="33" t="n">
        <f aca="false">H14-H24</f>
        <v>11796.1181133835</v>
      </c>
      <c r="I27" s="33" t="n">
        <f aca="false">I14-I24</f>
        <v>11748.555220227</v>
      </c>
    </row>
    <row r="29" customFormat="false" ht="15" hidden="false" customHeight="true" outlineLevel="0" collapsed="false">
      <c r="A29" s="12" t="s">
        <v>130</v>
      </c>
      <c r="B29" s="12"/>
      <c r="C29" s="12"/>
      <c r="D29" s="12"/>
      <c r="E29" s="12"/>
      <c r="F29" s="12"/>
      <c r="G29" s="12"/>
      <c r="H29" s="12"/>
      <c r="I29" s="12"/>
    </row>
    <row r="30" customFormat="false" ht="15" hidden="false" customHeight="true" outlineLevel="0" collapsed="false">
      <c r="A30" s="20" t="s">
        <v>131</v>
      </c>
      <c r="B30" s="21" t="n">
        <v>53102</v>
      </c>
      <c r="C30" s="21" t="n">
        <v>45512</v>
      </c>
      <c r="D30" s="21" t="n">
        <v>49353</v>
      </c>
      <c r="E30" s="21" t="n">
        <v>45868</v>
      </c>
      <c r="F30" s="21" t="n">
        <v>47039</v>
      </c>
      <c r="G30" s="33" t="n">
        <f aca="false">G24+G27</f>
        <v>46888.5054114301</v>
      </c>
      <c r="H30" s="33" t="n">
        <f aca="false">H24+H27</f>
        <v>46622.8099196587</v>
      </c>
      <c r="I30" s="33" t="n">
        <f aca="false">I24+I27</f>
        <v>46355.7031170493</v>
      </c>
    </row>
    <row r="31" customFormat="false" ht="15" hidden="false" customHeight="true" outlineLevel="0" collapsed="false">
      <c r="A31" s="23" t="s">
        <v>132</v>
      </c>
      <c r="B31" s="25" t="n">
        <v>53102</v>
      </c>
      <c r="C31" s="25" t="n">
        <v>45512</v>
      </c>
      <c r="D31" s="25" t="n">
        <v>49351</v>
      </c>
      <c r="E31" s="25" t="n">
        <v>45868</v>
      </c>
      <c r="F31" s="25" t="n">
        <v>47039</v>
      </c>
      <c r="G31" s="31" t="n">
        <f aca="false">G14</f>
        <v>46888.5054114301</v>
      </c>
      <c r="H31" s="31" t="n">
        <f aca="false">H14</f>
        <v>46622.8099196587</v>
      </c>
      <c r="I31" s="31" t="n">
        <f aca="false">I14</f>
        <v>46355.7031170493</v>
      </c>
    </row>
    <row r="32" customFormat="false" ht="15" hidden="false" customHeight="true" outlineLevel="0" collapsed="false">
      <c r="A32" s="37" t="s">
        <v>133</v>
      </c>
      <c r="B32" s="38" t="n">
        <v>0</v>
      </c>
      <c r="C32" s="38" t="n">
        <v>0</v>
      </c>
      <c r="D32" s="38" t="n">
        <v>0</v>
      </c>
      <c r="E32" s="38" t="n">
        <v>0</v>
      </c>
      <c r="F32" s="38" t="n">
        <v>0</v>
      </c>
      <c r="G32" s="38" t="n">
        <f aca="false">G30-G31</f>
        <v>0</v>
      </c>
      <c r="H32" s="38" t="n">
        <f aca="false">H30-H31</f>
        <v>0</v>
      </c>
      <c r="I32" s="38" t="n">
        <f aca="false">I30-I31</f>
        <v>0</v>
      </c>
    </row>
  </sheetData>
  <mergeCells count="6">
    <mergeCell ref="A1:I1"/>
    <mergeCell ref="A2:I2"/>
    <mergeCell ref="A4:I4"/>
    <mergeCell ref="A16:I16"/>
    <mergeCell ref="A26:I26"/>
    <mergeCell ref="A29:I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I26"/>
  <sheetViews>
    <sheetView showFormulas="false" showGridLines="false" showRowColHeaders="true" showZeros="true" rightToLeft="false" tabSelected="false" showOutlineSymbols="true" defaultGridColor="true" view="normal" topLeftCell="A10"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45"/>
    <col collapsed="false" customWidth="true" hidden="false" outlineLevel="0" max="9" min="2" style="0" width="15"/>
  </cols>
  <sheetData>
    <row r="1" customFormat="false" ht="27.75" hidden="false" customHeight="true" outlineLevel="0" collapsed="false">
      <c r="A1" s="9" t="s">
        <v>134</v>
      </c>
      <c r="B1" s="9"/>
      <c r="C1" s="9"/>
      <c r="D1" s="9"/>
      <c r="E1" s="9"/>
      <c r="F1" s="9"/>
      <c r="G1" s="9"/>
      <c r="H1" s="9"/>
      <c r="I1" s="9"/>
    </row>
    <row r="2" customFormat="false" ht="15" hidden="false" customHeight="true" outlineLevel="0" collapsed="false">
      <c r="A2" s="10" t="s">
        <v>135</v>
      </c>
      <c r="B2" s="10"/>
      <c r="C2" s="10"/>
      <c r="D2" s="10"/>
      <c r="E2" s="10"/>
      <c r="F2" s="10"/>
      <c r="G2" s="10"/>
      <c r="H2" s="10"/>
      <c r="I2" s="10"/>
    </row>
    <row r="3" customFormat="false" ht="19.5" hidden="false" customHeight="true" outlineLevel="0" collapsed="false">
      <c r="B3" s="27" t="s">
        <v>62</v>
      </c>
      <c r="C3" s="27" t="s">
        <v>63</v>
      </c>
      <c r="D3" s="27" t="s">
        <v>64</v>
      </c>
      <c r="E3" s="27" t="s">
        <v>65</v>
      </c>
      <c r="F3" s="27" t="s">
        <v>66</v>
      </c>
      <c r="G3" s="11" t="s">
        <v>33</v>
      </c>
      <c r="H3" s="11" t="s">
        <v>34</v>
      </c>
      <c r="I3" s="11" t="s">
        <v>35</v>
      </c>
    </row>
    <row r="4" customFormat="false" ht="15" hidden="false" customHeight="true" outlineLevel="0" collapsed="false">
      <c r="A4" s="12" t="s">
        <v>136</v>
      </c>
      <c r="B4" s="12"/>
      <c r="C4" s="12"/>
      <c r="D4" s="12"/>
      <c r="E4" s="12"/>
      <c r="F4" s="12"/>
      <c r="G4" s="12"/>
      <c r="H4" s="12"/>
      <c r="I4" s="12"/>
    </row>
    <row r="5" customFormat="false" ht="15" hidden="false" customHeight="true" outlineLevel="0" collapsed="false">
      <c r="A5" s="18" t="s">
        <v>137</v>
      </c>
      <c r="B5" s="19" t="n">
        <v>1210</v>
      </c>
      <c r="C5" s="19" t="n">
        <v>1165</v>
      </c>
      <c r="D5" s="19" t="n">
        <v>1481</v>
      </c>
      <c r="E5" s="19" t="n">
        <v>737</v>
      </c>
      <c r="F5" s="19" t="n">
        <v>1188</v>
      </c>
      <c r="G5" s="32" t="n">
        <f aca="false">'Income Statement'!G19</f>
        <v>1771.12641454</v>
      </c>
      <c r="H5" s="32" t="n">
        <f aca="false">'Income Statement'!H19</f>
        <v>1821.2999428308</v>
      </c>
      <c r="I5" s="32" t="n">
        <f aca="false">'Income Statement'!I19</f>
        <v>1927.07519080389</v>
      </c>
    </row>
    <row r="6" customFormat="false" ht="15" hidden="false" customHeight="true" outlineLevel="0" collapsed="false">
      <c r="A6" s="18" t="s">
        <v>138</v>
      </c>
      <c r="B6" s="19" t="n">
        <v>2112</v>
      </c>
      <c r="C6" s="19" t="n">
        <v>2057</v>
      </c>
      <c r="D6" s="19" t="n">
        <v>1718</v>
      </c>
      <c r="E6" s="19" t="n">
        <v>1700</v>
      </c>
      <c r="F6" s="19" t="n">
        <v>1723</v>
      </c>
      <c r="G6" s="32" t="n">
        <f aca="false">'Income Statement'!G12</f>
        <v>1720</v>
      </c>
      <c r="H6" s="32" t="n">
        <f aca="false">'Income Statement'!H12</f>
        <v>1750</v>
      </c>
      <c r="I6" s="32" t="n">
        <f aca="false">'Income Statement'!I12</f>
        <v>1780</v>
      </c>
    </row>
    <row r="7" customFormat="false" ht="15" hidden="false" customHeight="true" outlineLevel="0" collapsed="false">
      <c r="A7" s="18" t="s">
        <v>139</v>
      </c>
      <c r="B7" s="19" t="n">
        <v>-50</v>
      </c>
      <c r="C7" s="19" t="n">
        <v>-120</v>
      </c>
      <c r="D7" s="19" t="n">
        <v>100</v>
      </c>
      <c r="E7" s="19" t="n">
        <v>-200</v>
      </c>
      <c r="F7" s="19" t="n">
        <v>-120</v>
      </c>
      <c r="G7" s="32" t="n">
        <f aca="false">-50</f>
        <v>-50</v>
      </c>
      <c r="H7" s="32" t="n">
        <f aca="false">-50</f>
        <v>-50</v>
      </c>
      <c r="I7" s="32" t="n">
        <f aca="false">-50</f>
        <v>-50</v>
      </c>
    </row>
    <row r="8" customFormat="false" ht="15" hidden="false" customHeight="true" outlineLevel="0" collapsed="false">
      <c r="A8" s="18" t="s">
        <v>140</v>
      </c>
      <c r="B8" s="19" t="n">
        <v>-530</v>
      </c>
      <c r="C8" s="19" t="n">
        <v>-365</v>
      </c>
      <c r="D8" s="19" t="n">
        <v>-690</v>
      </c>
      <c r="E8" s="19" t="n">
        <v>-680</v>
      </c>
      <c r="F8" s="19" t="n">
        <v>-760</v>
      </c>
      <c r="G8" s="32" t="n">
        <f aca="false">-600</f>
        <v>-600</v>
      </c>
      <c r="H8" s="32" t="n">
        <f aca="false">-620</f>
        <v>-620</v>
      </c>
      <c r="I8" s="32" t="n">
        <f aca="false">-640</f>
        <v>-640</v>
      </c>
    </row>
    <row r="9" customFormat="false" ht="15" hidden="false" customHeight="true" outlineLevel="0" collapsed="false">
      <c r="A9" s="20" t="s">
        <v>141</v>
      </c>
      <c r="B9" s="24" t="n">
        <v>2545</v>
      </c>
      <c r="C9" s="24" t="n">
        <v>602</v>
      </c>
      <c r="D9" s="24" t="n">
        <v>3757</v>
      </c>
      <c r="E9" s="24" t="n">
        <v>3722</v>
      </c>
      <c r="F9" s="24" t="n">
        <v>3839</v>
      </c>
      <c r="G9" s="33" t="n">
        <f aca="false">G5+G6+G7+G8</f>
        <v>2841.12641454</v>
      </c>
      <c r="H9" s="33" t="n">
        <f aca="false">H5+H6+H7+H8</f>
        <v>2901.2999428308</v>
      </c>
      <c r="I9" s="33" t="n">
        <f aca="false">I5+I6+I7+I8</f>
        <v>3017.07519080389</v>
      </c>
    </row>
    <row r="11" customFormat="false" ht="15" hidden="false" customHeight="true" outlineLevel="0" collapsed="false">
      <c r="A11" s="12" t="s">
        <v>142</v>
      </c>
      <c r="B11" s="12"/>
      <c r="C11" s="12"/>
      <c r="D11" s="12"/>
      <c r="E11" s="12"/>
      <c r="F11" s="12"/>
      <c r="G11" s="12"/>
      <c r="H11" s="12"/>
      <c r="I11" s="12"/>
    </row>
    <row r="12" customFormat="false" ht="15" hidden="false" customHeight="true" outlineLevel="0" collapsed="false">
      <c r="A12" s="18" t="s">
        <v>106</v>
      </c>
      <c r="B12" s="19" t="n">
        <v>-1247</v>
      </c>
      <c r="C12" s="19" t="n">
        <v>-1377</v>
      </c>
      <c r="D12" s="19" t="n">
        <v>-1178</v>
      </c>
      <c r="E12" s="19" t="n">
        <v>-1250</v>
      </c>
      <c r="F12" s="19" t="n">
        <v>-1386</v>
      </c>
      <c r="G12" s="32" t="n">
        <f aca="false">-('Income Statement'!G5*Assumptions!B20)</f>
        <v>-1469.157102</v>
      </c>
      <c r="H12" s="32" t="n">
        <f aca="false">-('Income Statement'!H5*Assumptions!C20)</f>
        <v>-1498.54024404</v>
      </c>
      <c r="I12" s="32" t="n">
        <f aca="false">-('Income Statement'!I5*Assumptions!D20)</f>
        <v>-1528.5110489208</v>
      </c>
    </row>
    <row r="13" customFormat="false" ht="15" hidden="false" customHeight="true" outlineLevel="0" collapsed="false">
      <c r="A13" s="18" t="s">
        <v>143</v>
      </c>
      <c r="B13" s="19" t="n">
        <v>2305</v>
      </c>
      <c r="C13" s="19" t="n">
        <v>7548</v>
      </c>
      <c r="D13" s="19" t="n">
        <v>-557</v>
      </c>
      <c r="E13" s="19" t="n">
        <v>529</v>
      </c>
      <c r="F13" s="19" t="n">
        <v>-314</v>
      </c>
      <c r="G13" s="32" t="n">
        <f aca="false">0</f>
        <v>0</v>
      </c>
      <c r="H13" s="32" t="n">
        <f aca="false">0</f>
        <v>0</v>
      </c>
      <c r="I13" s="32" t="n">
        <f aca="false">0</f>
        <v>0</v>
      </c>
    </row>
    <row r="14" customFormat="false" ht="15" hidden="false" customHeight="true" outlineLevel="0" collapsed="false">
      <c r="A14" s="20" t="s">
        <v>144</v>
      </c>
      <c r="B14" s="24" t="n">
        <v>2058</v>
      </c>
      <c r="C14" s="24" t="n">
        <v>6171</v>
      </c>
      <c r="D14" s="24" t="n">
        <v>-1735</v>
      </c>
      <c r="E14" s="24" t="n">
        <v>-706</v>
      </c>
      <c r="F14" s="24" t="n">
        <v>-1700</v>
      </c>
      <c r="G14" s="33" t="n">
        <f aca="false">G12+G13</f>
        <v>-1469.157102</v>
      </c>
      <c r="H14" s="33" t="n">
        <f aca="false">H12+H13</f>
        <v>-1498.54024404</v>
      </c>
      <c r="I14" s="33" t="n">
        <f aca="false">I12+I13</f>
        <v>-1528.5110489208</v>
      </c>
    </row>
    <row r="16" customFormat="false" ht="15" hidden="false" customHeight="true" outlineLevel="0" collapsed="false">
      <c r="A16" s="12" t="s">
        <v>145</v>
      </c>
      <c r="B16" s="12"/>
      <c r="C16" s="12"/>
      <c r="D16" s="12"/>
      <c r="E16" s="12"/>
      <c r="F16" s="12"/>
      <c r="G16" s="12"/>
      <c r="H16" s="12"/>
      <c r="I16" s="12"/>
    </row>
    <row r="17" customFormat="false" ht="15" hidden="false" customHeight="true" outlineLevel="0" collapsed="false">
      <c r="A17" s="18" t="s">
        <v>146</v>
      </c>
      <c r="B17" s="19" t="n">
        <v>-549</v>
      </c>
      <c r="C17" s="19" t="n">
        <v>-472</v>
      </c>
      <c r="D17" s="19" t="n">
        <v>-750</v>
      </c>
      <c r="E17" s="19" t="n">
        <v>-821</v>
      </c>
      <c r="F17" s="19" t="n">
        <v>-883</v>
      </c>
      <c r="G17" s="32" t="n">
        <f aca="false">-900</f>
        <v>-900</v>
      </c>
      <c r="H17" s="32" t="n">
        <f aca="false">-920</f>
        <v>-920</v>
      </c>
      <c r="I17" s="32" t="n">
        <f aca="false">-940</f>
        <v>-940</v>
      </c>
    </row>
    <row r="18" customFormat="false" ht="15" hidden="false" customHeight="true" outlineLevel="0" collapsed="false">
      <c r="A18" s="18" t="s">
        <v>147</v>
      </c>
      <c r="B18" s="19" t="n">
        <v>-66</v>
      </c>
      <c r="C18" s="19" t="n">
        <v>0</v>
      </c>
      <c r="D18" s="19" t="n">
        <v>-422</v>
      </c>
      <c r="E18" s="19" t="n">
        <v>-867</v>
      </c>
      <c r="F18" s="19" t="n">
        <v>-845</v>
      </c>
      <c r="G18" s="32" t="n">
        <f aca="false">-500</f>
        <v>-500</v>
      </c>
      <c r="H18" s="32" t="n">
        <f aca="false">-400</f>
        <v>-400</v>
      </c>
      <c r="I18" s="32" t="n">
        <f aca="false">-300</f>
        <v>-300</v>
      </c>
    </row>
    <row r="19" customFormat="false" ht="15" hidden="false" customHeight="true" outlineLevel="0" collapsed="false">
      <c r="A19" s="18" t="s">
        <v>148</v>
      </c>
      <c r="B19" s="19" t="n">
        <v>-2986</v>
      </c>
      <c r="C19" s="19" t="n">
        <v>-7369</v>
      </c>
      <c r="D19" s="19" t="n">
        <v>-2062</v>
      </c>
      <c r="E19" s="19" t="n">
        <v>-1500</v>
      </c>
      <c r="F19" s="19" t="n">
        <v>-131</v>
      </c>
      <c r="G19" s="32" t="n">
        <f aca="false">-300</f>
        <v>-300</v>
      </c>
      <c r="H19" s="32" t="n">
        <f aca="false">-200</f>
        <v>-200</v>
      </c>
      <c r="I19" s="32" t="n">
        <f aca="false">-200</f>
        <v>-200</v>
      </c>
    </row>
    <row r="20" customFormat="false" ht="15" hidden="false" customHeight="true" outlineLevel="0" collapsed="false">
      <c r="A20" s="20" t="s">
        <v>149</v>
      </c>
      <c r="B20" s="24" t="n">
        <v>-3601</v>
      </c>
      <c r="C20" s="24" t="n">
        <v>-7841</v>
      </c>
      <c r="D20" s="24" t="n">
        <v>-2234</v>
      </c>
      <c r="E20" s="24" t="n">
        <v>-3188</v>
      </c>
      <c r="F20" s="24" t="n">
        <v>-1859</v>
      </c>
      <c r="G20" s="33" t="n">
        <f aca="false">G17+G18+G19</f>
        <v>-1700</v>
      </c>
      <c r="H20" s="33" t="n">
        <f aca="false">H17+H18+H19</f>
        <v>-1520</v>
      </c>
      <c r="I20" s="33" t="n">
        <f aca="false">I17+I18+I19</f>
        <v>-1440</v>
      </c>
    </row>
    <row r="22" customFormat="false" ht="15" hidden="false" customHeight="true" outlineLevel="0" collapsed="false">
      <c r="A22" s="12" t="s">
        <v>150</v>
      </c>
      <c r="B22" s="12"/>
      <c r="C22" s="12"/>
      <c r="D22" s="12"/>
      <c r="E22" s="12"/>
      <c r="F22" s="12"/>
      <c r="G22" s="12"/>
      <c r="H22" s="12"/>
      <c r="I22" s="12"/>
    </row>
    <row r="23" customFormat="false" ht="15" hidden="false" customHeight="true" outlineLevel="0" collapsed="false">
      <c r="A23" s="20" t="s">
        <v>109</v>
      </c>
      <c r="B23" s="24" t="n">
        <v>1002</v>
      </c>
      <c r="C23" s="24" t="n">
        <v>-1068</v>
      </c>
      <c r="D23" s="24" t="n">
        <v>-212</v>
      </c>
      <c r="E23" s="24" t="n">
        <v>-172</v>
      </c>
      <c r="F23" s="24" t="n">
        <v>37</v>
      </c>
      <c r="G23" s="33" t="n">
        <f aca="false">G9+G14+G20</f>
        <v>-328.03068746</v>
      </c>
      <c r="H23" s="33" t="n">
        <f aca="false">H9+H14+H20</f>
        <v>-117.240301209199</v>
      </c>
      <c r="I23" s="33" t="n">
        <f aca="false">I9+I14+I20</f>
        <v>48.564141883093</v>
      </c>
    </row>
    <row r="24" customFormat="false" ht="15" hidden="false" customHeight="true" outlineLevel="0" collapsed="false">
      <c r="A24" s="18" t="s">
        <v>151</v>
      </c>
      <c r="B24" s="19"/>
      <c r="C24" s="19" t="n">
        <v>2169</v>
      </c>
      <c r="D24" s="19" t="n">
        <v>1978</v>
      </c>
      <c r="E24" s="19" t="n">
        <v>1771</v>
      </c>
      <c r="F24" s="19" t="n">
        <v>1565</v>
      </c>
      <c r="G24" s="32" t="n">
        <f aca="false">1528</f>
        <v>1528</v>
      </c>
      <c r="H24" s="32" t="n">
        <f aca="false">1543</f>
        <v>1543</v>
      </c>
      <c r="I24" s="32" t="n">
        <f aca="false">1558</f>
        <v>1558</v>
      </c>
    </row>
    <row r="25" customFormat="false" ht="15" hidden="false" customHeight="true" outlineLevel="0" collapsed="false">
      <c r="A25" s="20" t="s">
        <v>152</v>
      </c>
      <c r="B25" s="24" t="n">
        <v>2169</v>
      </c>
      <c r="C25" s="24" t="n">
        <v>1978</v>
      </c>
      <c r="D25" s="24" t="n">
        <v>1771</v>
      </c>
      <c r="E25" s="24" t="n">
        <v>1565</v>
      </c>
      <c r="F25" s="24" t="n">
        <v>1528</v>
      </c>
      <c r="G25" s="33" t="n">
        <f aca="false">G24+G23</f>
        <v>1199.96931254</v>
      </c>
      <c r="H25" s="33" t="n">
        <f aca="false">H24+H23</f>
        <v>1425.7596987908</v>
      </c>
      <c r="I25" s="33" t="n">
        <f aca="false">I24+I23</f>
        <v>1606.56414188309</v>
      </c>
    </row>
    <row r="26" customFormat="false" ht="15" hidden="false" customHeight="true" outlineLevel="0" collapsed="false">
      <c r="A26" s="20" t="s">
        <v>153</v>
      </c>
      <c r="B26" s="24" t="n">
        <v>1298</v>
      </c>
      <c r="C26" s="24" t="n">
        <v>-775</v>
      </c>
      <c r="D26" s="24" t="n">
        <v>2808</v>
      </c>
      <c r="E26" s="24" t="n">
        <v>2751</v>
      </c>
      <c r="F26" s="24" t="n">
        <v>2731</v>
      </c>
      <c r="G26" s="33" t="n">
        <f aca="false">G9+G12</f>
        <v>1371.96931254</v>
      </c>
      <c r="H26" s="33" t="n">
        <f aca="false">H9+H12</f>
        <v>1402.7596987908</v>
      </c>
      <c r="I26" s="33" t="n">
        <f aca="false">I9+I12</f>
        <v>1488.56414188309</v>
      </c>
    </row>
  </sheetData>
  <mergeCells count="6">
    <mergeCell ref="A1:I1"/>
    <mergeCell ref="A2:I2"/>
    <mergeCell ref="A4:I4"/>
    <mergeCell ref="A11:I11"/>
    <mergeCell ref="A16:I16"/>
    <mergeCell ref="A22:I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8B57"/>
    <pageSetUpPr fitToPage="false"/>
  </sheetPr>
  <dimension ref="A1:I25"/>
  <sheetViews>
    <sheetView showFormulas="false" showGridLines="false" showRowColHeaders="true" showZeros="true" rightToLeft="false" tabSelected="false" showOutlineSymbols="true" defaultGridColor="true" view="normal" topLeftCell="A4" colorId="64" zoomScale="100" zoomScaleNormal="100" zoomScalePageLayoutView="100" workbookViewId="0">
      <selection pane="topLeft" activeCell="G20" activeCellId="0" sqref="G20"/>
    </sheetView>
  </sheetViews>
  <sheetFormatPr defaultColWidth="8.66796875" defaultRowHeight="14.25" zeroHeight="false" outlineLevelRow="0" outlineLevelCol="0"/>
  <cols>
    <col collapsed="false" customWidth="true" hidden="false" outlineLevel="0" max="1" min="1" style="0" width="25"/>
    <col collapsed="false" customWidth="true" hidden="false" outlineLevel="0" max="9" min="2" style="0" width="16"/>
  </cols>
  <sheetData>
    <row r="1" customFormat="false" ht="31.5" hidden="false" customHeight="true" outlineLevel="0" collapsed="false">
      <c r="A1" s="39" t="s">
        <v>154</v>
      </c>
      <c r="B1" s="39"/>
      <c r="C1" s="39"/>
      <c r="D1" s="39"/>
      <c r="E1" s="39"/>
      <c r="F1" s="39"/>
      <c r="G1" s="39"/>
      <c r="H1" s="39"/>
      <c r="I1" s="39"/>
    </row>
    <row r="2" customFormat="false" ht="15" hidden="false" customHeight="true" outlineLevel="0" collapsed="false">
      <c r="A2" s="40" t="s">
        <v>155</v>
      </c>
      <c r="B2" s="40"/>
      <c r="C2" s="40"/>
      <c r="D2" s="40"/>
      <c r="E2" s="40"/>
      <c r="F2" s="40"/>
      <c r="G2" s="40"/>
      <c r="H2" s="40"/>
      <c r="I2" s="40"/>
    </row>
    <row r="3" customFormat="false" ht="15" hidden="false" customHeight="true" outlineLevel="0" collapsed="false">
      <c r="B3" s="41" t="s">
        <v>156</v>
      </c>
      <c r="C3" s="41"/>
      <c r="D3" s="41" t="s">
        <v>157</v>
      </c>
      <c r="E3" s="41"/>
      <c r="F3" s="41" t="s">
        <v>158</v>
      </c>
      <c r="G3" s="41"/>
      <c r="H3" s="41" t="s">
        <v>159</v>
      </c>
      <c r="I3" s="41"/>
    </row>
    <row r="4" customFormat="false" ht="19.5" hidden="false" customHeight="true" outlineLevel="0" collapsed="false">
      <c r="B4" s="42" t="s">
        <v>160</v>
      </c>
      <c r="C4" s="42"/>
      <c r="D4" s="42" t="s">
        <v>161</v>
      </c>
      <c r="E4" s="42"/>
      <c r="F4" s="42" t="s">
        <v>162</v>
      </c>
      <c r="G4" s="42"/>
      <c r="H4" s="42" t="s">
        <v>163</v>
      </c>
      <c r="I4" s="42"/>
    </row>
    <row r="5" customFormat="false" ht="15" hidden="false" customHeight="true" outlineLevel="0" collapsed="false">
      <c r="B5" s="43" t="s">
        <v>164</v>
      </c>
      <c r="C5" s="43"/>
      <c r="D5" s="43" t="s">
        <v>165</v>
      </c>
      <c r="E5" s="43"/>
      <c r="F5" s="44" t="s">
        <v>166</v>
      </c>
      <c r="G5" s="44"/>
      <c r="H5" s="43" t="s">
        <v>167</v>
      </c>
      <c r="I5" s="43"/>
    </row>
    <row r="7" customFormat="false" ht="15" hidden="false" customHeight="true" outlineLevel="0" collapsed="false">
      <c r="A7" s="12" t="s">
        <v>168</v>
      </c>
      <c r="B7" s="12"/>
      <c r="C7" s="12"/>
      <c r="D7" s="12"/>
      <c r="E7" s="12"/>
      <c r="F7" s="12"/>
      <c r="G7" s="12"/>
      <c r="H7" s="12"/>
      <c r="I7" s="12"/>
    </row>
    <row r="8" customFormat="false" ht="15" hidden="false" customHeight="true" outlineLevel="0" collapsed="false">
      <c r="B8" s="27" t="s">
        <v>62</v>
      </c>
      <c r="C8" s="27" t="s">
        <v>63</v>
      </c>
      <c r="D8" s="27" t="s">
        <v>64</v>
      </c>
      <c r="E8" s="27" t="s">
        <v>65</v>
      </c>
      <c r="F8" s="27" t="s">
        <v>66</v>
      </c>
      <c r="G8" s="11" t="s">
        <v>33</v>
      </c>
      <c r="H8" s="11" t="s">
        <v>34</v>
      </c>
      <c r="I8" s="11" t="s">
        <v>35</v>
      </c>
    </row>
    <row r="9" customFormat="false" ht="15" hidden="false" customHeight="true" outlineLevel="0" collapsed="false">
      <c r="A9" s="13" t="s">
        <v>169</v>
      </c>
      <c r="B9" s="45" t="n">
        <v>58091</v>
      </c>
      <c r="C9" s="45" t="n">
        <v>53440</v>
      </c>
      <c r="D9" s="45" t="n">
        <v>61344</v>
      </c>
      <c r="E9" s="45" t="n">
        <v>65322</v>
      </c>
      <c r="F9" s="45" t="n">
        <v>68187</v>
      </c>
      <c r="G9" s="46" t="n">
        <f aca="false">'Income Statement'!G5</f>
        <v>69959.862</v>
      </c>
      <c r="H9" s="46" t="n">
        <f aca="false">'Income Statement'!H5</f>
        <v>71359.05924</v>
      </c>
      <c r="I9" s="46" t="n">
        <f aca="false">'Income Statement'!I5</f>
        <v>72786.2404248</v>
      </c>
    </row>
    <row r="10" customFormat="false" ht="15" hidden="false" customHeight="true" outlineLevel="0" collapsed="false">
      <c r="A10" s="47" t="s">
        <v>170</v>
      </c>
      <c r="B10" s="48" t="n">
        <v>4451</v>
      </c>
      <c r="C10" s="48" t="n">
        <v>4056</v>
      </c>
      <c r="D10" s="48" t="n">
        <v>4594</v>
      </c>
      <c r="E10" s="48" t="n">
        <v>3361</v>
      </c>
      <c r="F10" s="48" t="n">
        <v>4849</v>
      </c>
      <c r="G10" s="49" t="n">
        <f aca="false">'Income Statement'!G7</f>
        <v>4967.150202</v>
      </c>
      <c r="H10" s="49" t="n">
        <f aca="false">'Income Statement'!H7</f>
        <v>5066.49320604</v>
      </c>
      <c r="I10" s="49" t="n">
        <f aca="false">'Income Statement'!I7</f>
        <v>5240.6093105856</v>
      </c>
    </row>
    <row r="11" customFormat="false" ht="15" hidden="false" customHeight="true" outlineLevel="0" collapsed="false">
      <c r="A11" s="13" t="s">
        <v>171</v>
      </c>
      <c r="B11" s="45" t="n">
        <v>4278</v>
      </c>
      <c r="C11" s="45" t="n">
        <v>4050</v>
      </c>
      <c r="D11" s="45" t="n">
        <v>4278</v>
      </c>
      <c r="E11" s="45" t="n">
        <v>3110</v>
      </c>
      <c r="F11" s="45" t="n">
        <v>4544</v>
      </c>
      <c r="G11" s="46" t="n">
        <f aca="false">'Income Statement'!G10</f>
        <v>4617.350892</v>
      </c>
      <c r="H11" s="46" t="n">
        <f aca="false">'Income Statement'!H10</f>
        <v>4709.69790984</v>
      </c>
      <c r="I11" s="46" t="n">
        <f aca="false">'Income Statement'!I10</f>
        <v>4876.6781084616</v>
      </c>
    </row>
    <row r="12" customFormat="false" ht="15" hidden="false" customHeight="true" outlineLevel="0" collapsed="false">
      <c r="A12" s="47" t="s">
        <v>172</v>
      </c>
      <c r="B12" s="48" t="n">
        <v>1210</v>
      </c>
      <c r="C12" s="48" t="n">
        <v>1165</v>
      </c>
      <c r="D12" s="48" t="n">
        <v>1481</v>
      </c>
      <c r="E12" s="48" t="n">
        <v>737</v>
      </c>
      <c r="F12" s="48" t="n">
        <v>1188</v>
      </c>
      <c r="G12" s="49" t="n">
        <f aca="false">'Income Statement'!G19</f>
        <v>1771.12641454</v>
      </c>
      <c r="H12" s="49" t="n">
        <f aca="false">'Income Statement'!H19</f>
        <v>1821.2999428308</v>
      </c>
      <c r="I12" s="49" t="n">
        <f aca="false">'Income Statement'!I19</f>
        <v>1927.07519080389</v>
      </c>
    </row>
    <row r="13" customFormat="false" ht="15" hidden="false" customHeight="true" outlineLevel="0" collapsed="false">
      <c r="A13" s="13" t="s">
        <v>173</v>
      </c>
      <c r="B13" s="45" t="n">
        <v>1298</v>
      </c>
      <c r="C13" s="45" t="n">
        <v>-775</v>
      </c>
      <c r="D13" s="45" t="n">
        <v>2808</v>
      </c>
      <c r="E13" s="45" t="n">
        <v>2751</v>
      </c>
      <c r="F13" s="45" t="n">
        <v>2731</v>
      </c>
      <c r="G13" s="46" t="n">
        <f aca="false">'Cash Flow'!G26</f>
        <v>1371.96931254</v>
      </c>
      <c r="H13" s="46" t="n">
        <f aca="false">'Cash Flow'!H26</f>
        <v>1402.7596987908</v>
      </c>
      <c r="I13" s="46" t="n">
        <f aca="false">'Cash Flow'!I26</f>
        <v>1488.56414188309</v>
      </c>
    </row>
    <row r="14" customFormat="false" ht="15" hidden="false" customHeight="true" outlineLevel="0" collapsed="false">
      <c r="A14" s="47" t="s">
        <v>38</v>
      </c>
      <c r="B14" s="50" t="n">
        <v>0.0766211633471622</v>
      </c>
      <c r="C14" s="50" t="n">
        <v>0.0758982035928144</v>
      </c>
      <c r="D14" s="50" t="n">
        <v>0.0748891497130934</v>
      </c>
      <c r="E14" s="50" t="n">
        <v>0.0514528030372616</v>
      </c>
      <c r="F14" s="50" t="n">
        <v>0.0711132620587502</v>
      </c>
      <c r="G14" s="51" t="n">
        <f aca="false">'Income Statement'!G7/'Income Statement'!G5</f>
        <v>0.071</v>
      </c>
      <c r="H14" s="51" t="n">
        <f aca="false">'Income Statement'!H7/'Income Statement'!H5</f>
        <v>0.071</v>
      </c>
      <c r="I14" s="51" t="n">
        <f aca="false">'Income Statement'!I7/'Income Statement'!I5</f>
        <v>0.072</v>
      </c>
    </row>
    <row r="15" customFormat="false" ht="15" hidden="false" customHeight="true" outlineLevel="0" collapsed="false">
      <c r="A15" s="13" t="s">
        <v>40</v>
      </c>
      <c r="B15" s="34" t="n">
        <v>0.0736430772408807</v>
      </c>
      <c r="C15" s="34" t="n">
        <v>0.0757859281437126</v>
      </c>
      <c r="D15" s="34" t="n">
        <v>0.0697378716744914</v>
      </c>
      <c r="E15" s="34" t="n">
        <v>0.0476102997458743</v>
      </c>
      <c r="F15" s="34" t="n">
        <v>0.0666402686729142</v>
      </c>
      <c r="G15" s="35" t="n">
        <f aca="false">'Income Statement'!G10/'Income Statement'!G5</f>
        <v>0.066</v>
      </c>
      <c r="H15" s="35" t="n">
        <f aca="false">'Income Statement'!H10/'Income Statement'!H5</f>
        <v>0.066</v>
      </c>
      <c r="I15" s="35" t="n">
        <f aca="false">'Income Statement'!I10/'Income Statement'!I5</f>
        <v>0.067</v>
      </c>
    </row>
    <row r="16" customFormat="false" ht="15" hidden="false" customHeight="true" outlineLevel="0" collapsed="false">
      <c r="A16" s="47" t="s">
        <v>174</v>
      </c>
      <c r="B16" s="50" t="n">
        <v>0.0208293883734141</v>
      </c>
      <c r="C16" s="50" t="n">
        <v>0.0218001497005988</v>
      </c>
      <c r="D16" s="50" t="n">
        <v>0.0241425404277517</v>
      </c>
      <c r="E16" s="50" t="n">
        <v>0.0112825694253085</v>
      </c>
      <c r="F16" s="50" t="n">
        <v>0.0174226758766334</v>
      </c>
      <c r="G16" s="51" t="n">
        <f aca="false">'Income Statement'!G19/'Income Statement'!G5</f>
        <v>0.0253163223012075</v>
      </c>
      <c r="H16" s="51" t="n">
        <f aca="false">'Income Statement'!H19/'Income Statement'!H5</f>
        <v>0.025523037470341</v>
      </c>
      <c r="I16" s="51" t="n">
        <f aca="false">'Income Statement'!I19/'Income Statement'!I5</f>
        <v>0.0264758171263822</v>
      </c>
    </row>
    <row r="18" customFormat="false" ht="15" hidden="false" customHeight="true" outlineLevel="0" collapsed="false">
      <c r="A18" s="12" t="s">
        <v>175</v>
      </c>
      <c r="B18" s="12"/>
      <c r="C18" s="12"/>
      <c r="D18" s="12"/>
      <c r="E18" s="12"/>
      <c r="F18" s="12"/>
      <c r="G18" s="12"/>
      <c r="H18" s="12"/>
      <c r="I18" s="12"/>
    </row>
    <row r="19" customFormat="false" ht="15" hidden="false" customHeight="true" outlineLevel="0" collapsed="false">
      <c r="B19" s="27" t="s">
        <v>62</v>
      </c>
      <c r="C19" s="27" t="s">
        <v>63</v>
      </c>
      <c r="D19" s="27" t="s">
        <v>64</v>
      </c>
      <c r="E19" s="27" t="s">
        <v>65</v>
      </c>
      <c r="F19" s="27" t="s">
        <v>66</v>
      </c>
      <c r="G19" s="11" t="s">
        <v>33</v>
      </c>
      <c r="H19" s="11" t="s">
        <v>34</v>
      </c>
      <c r="I19" s="11" t="s">
        <v>35</v>
      </c>
    </row>
    <row r="20" customFormat="false" ht="15" hidden="false" customHeight="true" outlineLevel="0" collapsed="false">
      <c r="A20" s="13" t="s">
        <v>176</v>
      </c>
      <c r="B20" s="34" t="n">
        <v>0.0732489860161027</v>
      </c>
      <c r="C20" s="34" t="n">
        <v>0.100094509837615</v>
      </c>
      <c r="D20" s="34" t="n">
        <v>0.0934502776375568</v>
      </c>
      <c r="E20" s="34" t="n">
        <v>0.0602862985685072</v>
      </c>
      <c r="F20" s="34" t="n">
        <v>0.101843120445778</v>
      </c>
      <c r="G20" s="52" t="n">
        <f aca="false">'Income Statement'!G19/'Balance Sheet'!G27</f>
        <v>0.14949821481541</v>
      </c>
      <c r="H20" s="52" t="n">
        <f aca="false">'Income Statement'!H19/'Balance Sheet'!H27</f>
        <v>0.154398245704612</v>
      </c>
      <c r="I20" s="52" t="n">
        <f aca="false">'Income Statement'!I19/'Balance Sheet'!I27</f>
        <v>0.164026567920975</v>
      </c>
    </row>
    <row r="21" customFormat="false" ht="15" hidden="false" customHeight="true" outlineLevel="0" collapsed="false">
      <c r="A21" s="18" t="s">
        <v>177</v>
      </c>
      <c r="B21" s="53" t="n">
        <v>0.54</v>
      </c>
      <c r="C21" s="53" t="n">
        <v>0.51</v>
      </c>
      <c r="D21" s="53" t="n">
        <v>0.48</v>
      </c>
      <c r="E21" s="53" t="n">
        <v>0.48</v>
      </c>
      <c r="F21" s="53" t="n">
        <v>0.47</v>
      </c>
      <c r="G21" s="54" t="n">
        <f aca="false">'Balance Sheet'!G9/'Balance Sheet'!G20</f>
        <v>0.485124672946137</v>
      </c>
      <c r="H21" s="54" t="n">
        <f aca="false">'Balance Sheet'!H9/'Balance Sheet'!H20</f>
        <v>0.486614994914638</v>
      </c>
      <c r="I21" s="54" t="n">
        <f aca="false">'Balance Sheet'!I9/'Balance Sheet'!I20</f>
        <v>0.48814983167869</v>
      </c>
    </row>
    <row r="22" customFormat="false" ht="15" hidden="false" customHeight="true" outlineLevel="0" collapsed="false">
      <c r="A22" s="13" t="s">
        <v>178</v>
      </c>
      <c r="B22" s="55" t="n">
        <v>2.4</v>
      </c>
      <c r="C22" s="55" t="n">
        <v>2.2</v>
      </c>
      <c r="D22" s="55" t="n">
        <v>2.3</v>
      </c>
      <c r="E22" s="55" t="n">
        <v>2.9</v>
      </c>
      <c r="F22" s="55" t="n">
        <v>2</v>
      </c>
      <c r="G22" s="56" t="n">
        <f aca="false">('Balance Sheet'!G21+'Balance Sheet'!G18-'Balance Sheet'!G5)/'Income Statement'!G10</f>
        <v>1.849051588172</v>
      </c>
      <c r="H22" s="56" t="n">
        <f aca="false">('Balance Sheet'!H21+'Balance Sheet'!H18-'Balance Sheet'!H5)/'Income Statement'!H10</f>
        <v>1.74585295222881</v>
      </c>
      <c r="I22" s="56" t="n">
        <f aca="false">('Balance Sheet'!I21+'Balance Sheet'!I18-'Balance Sheet'!I5)/'Income Statement'!I10</f>
        <v>1.62142340013793</v>
      </c>
    </row>
    <row r="23" customFormat="false" ht="15" hidden="false" customHeight="true" outlineLevel="0" collapsed="false">
      <c r="A23" s="18" t="s">
        <v>179</v>
      </c>
      <c r="B23" s="53" t="n">
        <v>3.8</v>
      </c>
      <c r="C23" s="53" t="n">
        <v>3.9</v>
      </c>
      <c r="D23" s="53" t="n">
        <v>4.6</v>
      </c>
      <c r="E23" s="53" t="n">
        <v>2.3</v>
      </c>
      <c r="F23" s="53" t="n">
        <v>3.5</v>
      </c>
      <c r="G23" s="57" t="n">
        <f aca="false">'Income Statement'!G13/'Income Statement'!G16</f>
        <v>3.66753277468355</v>
      </c>
      <c r="H23" s="57" t="n">
        <f aca="false">'Income Statement'!H13/'Income Statement'!H16</f>
        <v>3.79448449979487</v>
      </c>
      <c r="I23" s="57" t="n">
        <f aca="false">'Income Statement'!I13/'Income Statement'!I16</f>
        <v>4.02165988111896</v>
      </c>
    </row>
    <row r="25" customFormat="false" ht="15" hidden="false" customHeight="true" outlineLevel="0" collapsed="false">
      <c r="A25" s="58"/>
      <c r="B25" s="58"/>
      <c r="C25" s="58"/>
      <c r="D25" s="58"/>
      <c r="E25" s="58"/>
      <c r="F25" s="58"/>
      <c r="G25" s="58"/>
      <c r="H25" s="58"/>
      <c r="I25" s="58"/>
    </row>
  </sheetData>
  <mergeCells count="17">
    <mergeCell ref="A1:I1"/>
    <mergeCell ref="A2:I2"/>
    <mergeCell ref="B3:C3"/>
    <mergeCell ref="D3:E3"/>
    <mergeCell ref="F3:G3"/>
    <mergeCell ref="H3:I3"/>
    <mergeCell ref="B4:C4"/>
    <mergeCell ref="D4:E4"/>
    <mergeCell ref="F4:G4"/>
    <mergeCell ref="H4:I4"/>
    <mergeCell ref="B5:C5"/>
    <mergeCell ref="D5:E5"/>
    <mergeCell ref="F5:G5"/>
    <mergeCell ref="H5:I5"/>
    <mergeCell ref="A7:I7"/>
    <mergeCell ref="A18:I18"/>
    <mergeCell ref="A25:I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C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E18" activeCellId="0" sqref="E18"/>
    </sheetView>
  </sheetViews>
  <sheetFormatPr defaultColWidth="8.66796875" defaultRowHeight="14.25" zeroHeight="false" outlineLevelRow="0" outlineLevelCol="0"/>
  <cols>
    <col collapsed="false" customWidth="true" hidden="false" outlineLevel="0" max="1" min="1" style="0" width="45"/>
    <col collapsed="false" customWidth="true" hidden="false" outlineLevel="0" max="3" min="2" style="0" width="20"/>
  </cols>
  <sheetData>
    <row r="1" customFormat="false" ht="27.75" hidden="false" customHeight="true" outlineLevel="0" collapsed="false">
      <c r="A1" s="9" t="s">
        <v>180</v>
      </c>
      <c r="B1" s="9"/>
      <c r="C1" s="9"/>
    </row>
    <row r="2" customFormat="false" ht="15" hidden="false" customHeight="true" outlineLevel="0" collapsed="false">
      <c r="A2" s="10" t="s">
        <v>181</v>
      </c>
      <c r="B2" s="10"/>
      <c r="C2" s="10"/>
    </row>
    <row r="4" customFormat="false" ht="15" hidden="false" customHeight="true" outlineLevel="0" collapsed="false">
      <c r="A4" s="11" t="s">
        <v>182</v>
      </c>
      <c r="B4" s="11" t="s">
        <v>183</v>
      </c>
      <c r="C4" s="11" t="s">
        <v>184</v>
      </c>
    </row>
    <row r="5" customFormat="false" ht="15" hidden="false" customHeight="true" outlineLevel="0" collapsed="false">
      <c r="A5" s="59" t="s">
        <v>185</v>
      </c>
      <c r="B5" s="32" t="n">
        <f aca="false">'Income Statement'!F5</f>
        <v>68187</v>
      </c>
      <c r="C5" s="60" t="str">
        <f aca="false">IF(ABS(B5-68187)&lt;1,"✓ PASS","✗ FAIL")</f>
        <v>✓ PASS</v>
      </c>
    </row>
    <row r="6" customFormat="false" ht="15" hidden="false" customHeight="true" outlineLevel="0" collapsed="false">
      <c r="A6" s="61" t="s">
        <v>186</v>
      </c>
      <c r="B6" s="32" t="n">
        <f aca="false">'Income Statement'!F19</f>
        <v>1188</v>
      </c>
      <c r="C6" s="60" t="str">
        <f aca="false">IF(ABS(B6-1188)&lt;1,"✓ PASS","✗ FAIL")</f>
        <v>✓ PASS</v>
      </c>
    </row>
    <row r="7" customFormat="false" ht="15" hidden="false" customHeight="true" outlineLevel="0" collapsed="false">
      <c r="A7" s="59" t="s">
        <v>187</v>
      </c>
      <c r="B7" s="32" t="n">
        <f aca="false">'Balance Sheet'!F14</f>
        <v>47039</v>
      </c>
      <c r="C7" s="60" t="str">
        <f aca="false">IF(ABS(B7-47039)&lt;1,"✓ PASS","✗ FAIL")</f>
        <v>✓ PASS</v>
      </c>
    </row>
    <row r="8" customFormat="false" ht="15" hidden="false" customHeight="true" outlineLevel="0" collapsed="false">
      <c r="A8" s="61" t="s">
        <v>188</v>
      </c>
      <c r="B8" s="32" t="n">
        <f aca="false">'Balance Sheet'!F27</f>
        <v>11665</v>
      </c>
      <c r="C8" s="60" t="str">
        <f aca="false">IF(ABS(B8-11665)&lt;1,"✓ PASS","✗ FAIL")</f>
        <v>✓ PASS</v>
      </c>
    </row>
    <row r="9" customFormat="false" ht="15" hidden="false" customHeight="true" outlineLevel="0" collapsed="false">
      <c r="A9" s="59" t="s">
        <v>189</v>
      </c>
      <c r="B9" s="62" t="n">
        <f aca="false">'Cash Flow'!F9</f>
        <v>3839</v>
      </c>
      <c r="C9" s="60" t="str">
        <f aca="false">IF(ABS(B9-3839)&lt;1,"✓ PASS","✗ FAIL")</f>
        <v>✓ PASS</v>
      </c>
    </row>
    <row r="10" customFormat="false" ht="15" hidden="false" customHeight="true" outlineLevel="0" collapsed="false">
      <c r="A10" s="61" t="s">
        <v>190</v>
      </c>
      <c r="B10" s="62" t="n">
        <f aca="false">'Income Statement'!G5</f>
        <v>69959.862</v>
      </c>
      <c r="C10" s="60" t="str">
        <f aca="false">IF(B10&gt;0,"✓ PASS","✗ FAIL")</f>
        <v>✓ PASS</v>
      </c>
    </row>
    <row r="11" customFormat="false" ht="15" hidden="false" customHeight="true" outlineLevel="0" collapsed="false">
      <c r="A11" s="59" t="s">
        <v>191</v>
      </c>
      <c r="B11" s="32" t="n">
        <f aca="false">'Income Statement'!G19</f>
        <v>1771.12641454</v>
      </c>
      <c r="C11" s="60" t="str">
        <f aca="false">IF(B11&gt;0,"✓ PASS","✗ FAIL")</f>
        <v>✓ PASS</v>
      </c>
    </row>
    <row r="12" customFormat="false" ht="15" hidden="false" customHeight="true" outlineLevel="0" collapsed="false">
      <c r="A12" s="61" t="s">
        <v>192</v>
      </c>
      <c r="B12" s="32" t="n">
        <f aca="false">'Balance Sheet'!G14-'Balance Sheet'!G24-'Balance Sheet'!G27</f>
        <v>0</v>
      </c>
      <c r="C12" s="60" t="str">
        <f aca="false">IF(ABS(B12)&lt;1,"✓ PASS","✗ FAIL")</f>
        <v>✓ PASS</v>
      </c>
    </row>
    <row r="13" customFormat="false" ht="15" hidden="false" customHeight="true" outlineLevel="0" collapsed="false">
      <c r="A13" s="59" t="s">
        <v>193</v>
      </c>
      <c r="B13" s="32" t="n">
        <f aca="false">'Balance Sheet'!H14-'Balance Sheet'!H24-'Balance Sheet'!H27</f>
        <v>0</v>
      </c>
      <c r="C13" s="60" t="str">
        <f aca="false">IF(ABS(B13)&lt;1,"✓ PASS","✗ FAIL")</f>
        <v>✓ PASS</v>
      </c>
    </row>
    <row r="14" customFormat="false" ht="15" hidden="false" customHeight="true" outlineLevel="0" collapsed="false">
      <c r="A14" s="61" t="s">
        <v>194</v>
      </c>
      <c r="B14" s="32" t="n">
        <f aca="false">'Cash Flow'!G9</f>
        <v>2841.12641454</v>
      </c>
      <c r="C14" s="60" t="str">
        <f aca="false">IF(B14&gt;0,"✓ PASS","✗ FAIL")</f>
        <v>✓ PASS</v>
      </c>
    </row>
    <row r="15" customFormat="false" ht="15" hidden="false" customHeight="true" outlineLevel="0" collapsed="false">
      <c r="A15" s="59" t="s">
        <v>195</v>
      </c>
      <c r="B15" s="32" t="n">
        <f aca="false">'Income Statement'!G5/'Income Statement'!F5-1</f>
        <v>0.026</v>
      </c>
      <c r="C15" s="60" t="str">
        <f aca="false">IF(AND(B15&gt;=0.01,B15&lt;=0.05),"✓ PASS","✗ FAIL")</f>
        <v>✓ PASS</v>
      </c>
    </row>
    <row r="16" customFormat="false" ht="15" hidden="false" customHeight="true" outlineLevel="0" collapsed="false">
      <c r="A16" s="61" t="s">
        <v>196</v>
      </c>
      <c r="B16" s="32" t="n">
        <f aca="false">'Income Statement'!G10/'Income Statement'!G5</f>
        <v>0.066</v>
      </c>
      <c r="C16" s="60" t="str">
        <f aca="false">IF(AND(B16&gt;=0.05,B16&lt;=0.1),"✓ PASS","✗ FAIL")</f>
        <v>✓ PASS</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2026-06-21T14:56:55Z</dcterms:created>
  <dc:creator>openpyxl</dc:creator>
  <dc:description/>
  <dc:language>en-US</dc:language>
  <cp:lastModifiedBy/>
  <dcterms:modified xsi:type="dcterms:W3CDTF">2026-06-21T15:45:48Z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